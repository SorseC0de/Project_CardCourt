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540" yWindow="1900" windowWidth="21600" windowHeight="18980" tabRatio="600" firstSheet="0" activeTab="1" autoFilterDateGrouping="1"/>
  </bookViews>
  <sheets>
    <sheet name="Card Types" sheetId="1" state="visible" r:id="rId1"/>
    <sheet name="Card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Helvetica Neue"/>
      <color indexed="8"/>
      <sz val="10"/>
    </font>
    <font>
      <name val="Helvetica Neue"/>
      <family val="2"/>
      <color indexed="8"/>
      <sz val="12"/>
    </font>
    <font>
      <name val="Helvetica Neue"/>
      <family val="2"/>
      <b val="1"/>
      <color indexed="8"/>
      <sz val="10"/>
    </font>
    <font>
      <name val="Helvetica Neue"/>
      <family val="2"/>
      <strike val="1"/>
      <color indexed="8"/>
      <sz val="10"/>
    </font>
    <font>
      <name val="Helvetica Neue"/>
      <family val="2"/>
      <b val="1"/>
      <color indexed="12"/>
      <sz val="12"/>
    </font>
    <font>
      <name val="Helvetica Neue"/>
      <family val="2"/>
      <b val="1"/>
      <color indexed="8"/>
      <sz val="16"/>
    </font>
    <font>
      <name val="Helvetica Neue"/>
      <family val="2"/>
      <color indexed="13"/>
      <sz val="18"/>
    </font>
    <font>
      <name val="Helvetica Neue"/>
      <family val="2"/>
      <color indexed="14"/>
      <sz val="18"/>
    </font>
    <font>
      <name val="Helvetica Neue"/>
      <family val="2"/>
      <color indexed="15"/>
      <sz val="18"/>
    </font>
    <font>
      <name val="Helvetica Neue"/>
      <family val="2"/>
      <color indexed="16"/>
      <sz val="18"/>
    </font>
    <font>
      <name val="Helvetica Neue"/>
      <family val="2"/>
      <color indexed="17"/>
      <sz val="18"/>
    </font>
    <font>
      <name val="Helvetica Neue"/>
      <family val="2"/>
      <color indexed="18"/>
      <sz val="18"/>
    </font>
    <font>
      <name val="Helvetica Neue"/>
      <family val="2"/>
      <color indexed="19"/>
      <sz val="18"/>
    </font>
    <font>
      <name val="Helvetica Neue"/>
      <family val="2"/>
      <color indexed="20"/>
      <sz val="18"/>
    </font>
    <font>
      <name val="Helvetica Neue"/>
      <family val="2"/>
      <b val="1"/>
      <color indexed="8"/>
      <sz val="14"/>
    </font>
    <font>
      <name val="Helvetica Neue"/>
      <family val="2"/>
      <color indexed="8"/>
      <sz val="10"/>
    </font>
    <font>
      <name val="Helvetica Neue"/>
      <family val="2"/>
      <b val="1"/>
      <i val="1"/>
      <color indexed="8"/>
      <sz val="10"/>
    </font>
  </fonts>
  <fills count="9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D9D9"/>
      </patternFill>
    </fill>
  </fills>
  <borders count="5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medium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64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64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medium">
        <color indexed="64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10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10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64"/>
      </top>
      <bottom style="thin">
        <color indexed="10"/>
      </bottom>
      <diagonal/>
    </border>
    <border>
      <left/>
      <right/>
      <top style="thin">
        <color indexed="64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medium">
        <color indexed="64"/>
      </bottom>
      <diagonal/>
    </border>
    <border>
      <left/>
      <right/>
      <top style="thin">
        <color indexed="10"/>
      </top>
      <bottom style="medium">
        <color indexed="64"/>
      </bottom>
      <diagonal/>
    </border>
    <border>
      <left style="thin">
        <color indexed="10"/>
      </left>
      <right/>
      <top style="medium">
        <color indexed="64"/>
      </top>
      <bottom style="thin">
        <color indexed="10"/>
      </bottom>
      <diagonal/>
    </border>
    <border>
      <left/>
      <right/>
      <top style="medium">
        <color indexed="64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64"/>
      </bottom>
      <diagonal/>
    </border>
    <border>
      <left/>
      <right/>
      <top style="thin">
        <color indexed="10"/>
      </top>
      <bottom style="thin">
        <color indexed="64"/>
      </bottom>
      <diagonal/>
    </border>
    <border>
      <left/>
      <right style="thin">
        <color indexed="10"/>
      </right>
      <top style="thin">
        <color indexed="10"/>
      </top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1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 applyAlignment="1">
      <alignment vertical="top" wrapText="1"/>
    </xf>
  </cellStyleXfs>
  <cellXfs count="142">
    <xf numFmtId="0" fontId="0" fillId="0" borderId="0" applyAlignment="1" pivotButton="0" quotePrefix="0" xfId="0">
      <alignment vertical="top" wrapText="1"/>
    </xf>
    <xf numFmtId="49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49" fontId="3" fillId="0" borderId="2" applyAlignment="1" pivotButton="0" quotePrefix="0" xfId="0">
      <alignment vertical="top" wrapText="1"/>
    </xf>
    <xf numFmtId="49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49" fontId="0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4" fillId="3" borderId="4" applyAlignment="1" pivotButton="0" quotePrefix="0" xfId="0">
      <alignment horizontal="right" vertical="top" wrapText="1"/>
    </xf>
    <xf numFmtId="49" fontId="5" fillId="0" borderId="5" applyAlignment="1" pivotButton="0" quotePrefix="0" xfId="0">
      <alignment horizontal="center" vertical="top" wrapText="1"/>
    </xf>
    <xf numFmtId="49" fontId="5" fillId="0" borderId="3" applyAlignment="1" pivotButton="0" quotePrefix="0" xfId="0">
      <alignment horizontal="center" vertical="top" wrapText="1"/>
    </xf>
    <xf numFmtId="0" fontId="6" fillId="0" borderId="5" applyAlignment="1" pivotButton="0" quotePrefix="0" xfId="0">
      <alignment horizontal="center" vertical="top" wrapText="1"/>
    </xf>
    <xf numFmtId="0" fontId="7" fillId="0" borderId="3" applyAlignment="1" pivotButton="0" quotePrefix="0" xfId="0">
      <alignment horizontal="center" vertical="top" wrapText="1"/>
    </xf>
    <xf numFmtId="0" fontId="8" fillId="0" borderId="3" applyAlignment="1" pivotButton="0" quotePrefix="0" xfId="0">
      <alignment horizontal="center" vertical="top" wrapText="1"/>
    </xf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horizontal="center" vertical="top" wrapText="1"/>
    </xf>
    <xf numFmtId="0" fontId="11" fillId="0" borderId="3" applyAlignment="1" pivotButton="0" quotePrefix="0" xfId="0">
      <alignment horizontal="center" vertical="top" wrapText="1"/>
    </xf>
    <xf numFmtId="0" fontId="12" fillId="0" borderId="3" applyAlignment="1" pivotButton="0" quotePrefix="0" xfId="0">
      <alignment horizontal="center" vertical="top" wrapText="1"/>
    </xf>
    <xf numFmtId="0" fontId="13" fillId="0" borderId="3" applyAlignment="1" pivotButton="0" quotePrefix="0" xfId="0">
      <alignment horizontal="center" vertical="top" wrapText="1"/>
    </xf>
    <xf numFmtId="49" fontId="2" fillId="2" borderId="6" applyAlignment="1" pivotButton="0" quotePrefix="0" xfId="0">
      <alignment vertical="top" wrapText="1"/>
    </xf>
    <xf numFmtId="49" fontId="14" fillId="4" borderId="7" applyAlignment="1" pivotButton="0" quotePrefix="0" xfId="0">
      <alignment vertical="top"/>
    </xf>
    <xf numFmtId="0" fontId="5" fillId="4" borderId="7" applyAlignment="1" pivotButton="0" quotePrefix="0" xfId="0">
      <alignment horizontal="center" vertical="top"/>
    </xf>
    <xf numFmtId="0" fontId="2" fillId="4" borderId="7" applyAlignment="1" pivotButton="0" quotePrefix="0" xfId="0">
      <alignment vertical="top"/>
    </xf>
    <xf numFmtId="0" fontId="2" fillId="5" borderId="2" applyAlignment="1" pivotButton="0" quotePrefix="0" xfId="0">
      <alignment vertical="top" wrapText="1"/>
    </xf>
    <xf numFmtId="49" fontId="2" fillId="5" borderId="8" applyAlignment="1" pivotButton="0" quotePrefix="0" xfId="0">
      <alignment vertical="top" wrapText="1"/>
    </xf>
    <xf numFmtId="49" fontId="0" fillId="6" borderId="9" applyAlignment="1" pivotButton="0" quotePrefix="0" xfId="0">
      <alignment vertical="top" wrapText="1"/>
    </xf>
    <xf numFmtId="49" fontId="0" fillId="6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2" fillId="5" borderId="3" applyAlignment="1" pivotButton="0" quotePrefix="0" xfId="0">
      <alignment vertical="top" wrapText="1"/>
    </xf>
    <xf numFmtId="49" fontId="2" fillId="5" borderId="4" applyAlignment="1" pivotButton="0" quotePrefix="0" xfId="0">
      <alignment vertical="top" wrapText="1"/>
    </xf>
    <xf numFmtId="49" fontId="0" fillId="0" borderId="5" applyAlignment="1" pivotButton="0" quotePrefix="0" xfId="0">
      <alignment vertical="top" wrapText="1"/>
    </xf>
    <xf numFmtId="49" fontId="0" fillId="6" borderId="5" applyAlignment="1" pivotButton="0" quotePrefix="0" xfId="0">
      <alignment vertical="top" wrapText="1"/>
    </xf>
    <xf numFmtId="49" fontId="0" fillId="6" borderId="3" applyAlignment="1" pivotButton="0" quotePrefix="0" xfId="0">
      <alignment vertical="top" wrapText="1"/>
    </xf>
    <xf numFmtId="0" fontId="0" fillId="6" borderId="3" applyAlignment="1" pivotButton="0" quotePrefix="0" xfId="0">
      <alignment vertical="top" wrapText="1"/>
    </xf>
    <xf numFmtId="0" fontId="2" fillId="5" borderId="6" applyAlignment="1" pivotButton="0" quotePrefix="0" xfId="0">
      <alignment vertical="top" wrapText="1"/>
    </xf>
    <xf numFmtId="49" fontId="2" fillId="5" borderId="10" applyAlignment="1" pivotButton="0" quotePrefix="0" xfId="0">
      <alignment vertical="top" wrapText="1"/>
    </xf>
    <xf numFmtId="49" fontId="0" fillId="6" borderId="11" applyAlignment="1" pivotButton="0" quotePrefix="0" xfId="0">
      <alignment vertical="top" wrapText="1"/>
    </xf>
    <xf numFmtId="49" fontId="0" fillId="6" borderId="6" applyAlignment="1" pivotButton="0" quotePrefix="0" xfId="0">
      <alignment vertical="top" wrapText="1"/>
    </xf>
    <xf numFmtId="49" fontId="14" fillId="4" borderId="12" applyAlignment="1" pivotButton="0" quotePrefix="0" xfId="0">
      <alignment vertical="top"/>
    </xf>
    <xf numFmtId="0" fontId="5" fillId="4" borderId="12" applyAlignment="1" pivotButton="0" quotePrefix="0" xfId="0">
      <alignment horizontal="center" vertical="top"/>
    </xf>
    <xf numFmtId="0" fontId="2" fillId="4" borderId="12" applyAlignment="1" pivotButton="0" quotePrefix="0" xfId="0">
      <alignment vertical="top"/>
    </xf>
    <xf numFmtId="49" fontId="14" fillId="4" borderId="13" applyAlignment="1" pivotButton="0" quotePrefix="0" xfId="0">
      <alignment vertical="top"/>
    </xf>
    <xf numFmtId="0" fontId="5" fillId="4" borderId="13" applyAlignment="1" pivotButton="0" quotePrefix="0" xfId="0">
      <alignment horizontal="center" vertical="top"/>
    </xf>
    <xf numFmtId="0" fontId="2" fillId="4" borderId="13" applyAlignment="1" pivotButton="0" quotePrefix="0" xfId="0">
      <alignment vertical="top"/>
    </xf>
    <xf numFmtId="0" fontId="2" fillId="5" borderId="14" applyAlignment="1" pivotButton="0" quotePrefix="0" xfId="0">
      <alignment vertical="top" wrapText="1"/>
    </xf>
    <xf numFmtId="49" fontId="2" fillId="5" borderId="15" applyAlignment="1" pivotButton="0" quotePrefix="0" xfId="0">
      <alignment vertical="top" wrapText="1"/>
    </xf>
    <xf numFmtId="49" fontId="0" fillId="6" borderId="16" applyAlignment="1" pivotButton="0" quotePrefix="0" xfId="0">
      <alignment vertical="top" wrapText="1"/>
    </xf>
    <xf numFmtId="49" fontId="0" fillId="6" borderId="14" applyAlignment="1" pivotButton="0" quotePrefix="0" xfId="0">
      <alignment vertical="top" wrapText="1"/>
    </xf>
    <xf numFmtId="0" fontId="0" fillId="6" borderId="14" applyAlignment="1" pivotButton="0" quotePrefix="0" xfId="0">
      <alignment vertical="top" wrapText="1"/>
    </xf>
    <xf numFmtId="0" fontId="2" fillId="5" borderId="17" applyAlignment="1" pivotButton="0" quotePrefix="0" xfId="0">
      <alignment vertical="top" wrapText="1"/>
    </xf>
    <xf numFmtId="49" fontId="2" fillId="5" borderId="18" applyAlignment="1" pivotButton="0" quotePrefix="0" xfId="0">
      <alignment vertical="top" wrapText="1"/>
    </xf>
    <xf numFmtId="0" fontId="2" fillId="5" borderId="20" applyAlignment="1" pivotButton="0" quotePrefix="0" xfId="0">
      <alignment vertical="top" wrapText="1"/>
    </xf>
    <xf numFmtId="49" fontId="2" fillId="5" borderId="21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49" fontId="14" fillId="4" borderId="3" applyAlignment="1" pivotButton="0" quotePrefix="0" xfId="0">
      <alignment vertical="top"/>
    </xf>
    <xf numFmtId="0" fontId="5" fillId="4" borderId="3" applyAlignment="1" pivotButton="0" quotePrefix="0" xfId="0">
      <alignment horizontal="center" vertical="top"/>
    </xf>
    <xf numFmtId="0" fontId="2" fillId="4" borderId="3" applyAlignment="1" pivotButton="0" quotePrefix="0" xfId="0">
      <alignment vertical="top"/>
    </xf>
    <xf numFmtId="49" fontId="14" fillId="4" borderId="23" applyAlignment="1" pivotButton="0" quotePrefix="0" xfId="0">
      <alignment vertical="top"/>
    </xf>
    <xf numFmtId="0" fontId="5" fillId="4" borderId="23" applyAlignment="1" pivotButton="0" quotePrefix="0" xfId="0">
      <alignment horizontal="center" vertical="top"/>
    </xf>
    <xf numFmtId="0" fontId="2" fillId="4" borderId="23" applyAlignment="1" pivotButton="0" quotePrefix="0" xfId="0">
      <alignment vertical="top"/>
    </xf>
    <xf numFmtId="0" fontId="2" fillId="5" borderId="24" applyAlignment="1" pivotButton="0" quotePrefix="0" xfId="0">
      <alignment vertical="top" wrapText="1"/>
    </xf>
    <xf numFmtId="49" fontId="2" fillId="5" borderId="25" applyAlignment="1" pivotButton="0" quotePrefix="0" xfId="0">
      <alignment vertical="top" wrapText="1"/>
    </xf>
    <xf numFmtId="49" fontId="0" fillId="6" borderId="26" applyAlignment="1" pivotButton="0" quotePrefix="0" xfId="0">
      <alignment vertical="top" wrapText="1"/>
    </xf>
    <xf numFmtId="49" fontId="0" fillId="6" borderId="24" applyAlignment="1" pivotButton="0" quotePrefix="0" xfId="0">
      <alignment vertical="top" wrapText="1"/>
    </xf>
    <xf numFmtId="0" fontId="0" fillId="6" borderId="24" applyAlignment="1" pivotButton="0" quotePrefix="0" xfId="0">
      <alignment vertical="top" wrapText="1"/>
    </xf>
    <xf numFmtId="49" fontId="0" fillId="0" borderId="26" applyAlignment="1" pivotButton="0" quotePrefix="0" xfId="0">
      <alignment vertical="top" wrapText="1"/>
    </xf>
    <xf numFmtId="49" fontId="0" fillId="0" borderId="24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49" fontId="0" fillId="6" borderId="22" applyAlignment="1" pivotButton="0" quotePrefix="0" xfId="0">
      <alignment vertical="top" wrapText="1"/>
    </xf>
    <xf numFmtId="49" fontId="0" fillId="6" borderId="20" applyAlignment="1" pivotButton="0" quotePrefix="0" xfId="0">
      <alignment vertical="top" wrapText="1"/>
    </xf>
    <xf numFmtId="0" fontId="0" fillId="0" borderId="0" pivotButton="0" quotePrefix="0" xfId="0"/>
    <xf numFmtId="0" fontId="2" fillId="4" borderId="7" applyAlignment="1" pivotButton="0" quotePrefix="0" xfId="0">
      <alignment horizontal="center" vertical="top"/>
    </xf>
    <xf numFmtId="0" fontId="0" fillId="6" borderId="2" applyAlignment="1" pivotButton="0" quotePrefix="0" xfId="0">
      <alignment horizontal="center" vertical="top" wrapText="1"/>
    </xf>
    <xf numFmtId="49" fontId="0" fillId="0" borderId="3" applyAlignment="1" pivotButton="0" quotePrefix="0" xfId="0">
      <alignment horizontal="center" vertical="top" wrapText="1"/>
    </xf>
    <xf numFmtId="0" fontId="0" fillId="6" borderId="3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49" fontId="0" fillId="6" borderId="6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/>
    </xf>
    <xf numFmtId="0" fontId="0" fillId="6" borderId="14" applyAlignment="1" pivotButton="0" quotePrefix="0" xfId="0">
      <alignment horizontal="center" vertical="top" wrapText="1"/>
    </xf>
    <xf numFmtId="49" fontId="0" fillId="6" borderId="3" applyAlignment="1" pivotButton="0" quotePrefix="0" xfId="0">
      <alignment horizontal="center" vertical="top" wrapText="1"/>
    </xf>
    <xf numFmtId="49" fontId="0" fillId="6" borderId="24" applyAlignment="1" pivotButton="0" quotePrefix="0" xfId="0">
      <alignment horizontal="center" vertical="top" wrapText="1"/>
    </xf>
    <xf numFmtId="0" fontId="2" fillId="4" borderId="13" applyAlignment="1" pivotButton="0" quotePrefix="0" xfId="0">
      <alignment horizontal="center" vertical="top"/>
    </xf>
    <xf numFmtId="49" fontId="0" fillId="6" borderId="2" applyAlignment="1" pivotButton="0" quotePrefix="0" xfId="0">
      <alignment horizontal="center" vertical="top" wrapText="1"/>
    </xf>
    <xf numFmtId="49" fontId="0" fillId="6" borderId="20" applyAlignment="1" pivotButton="0" quotePrefix="0" xfId="0">
      <alignment horizontal="center" vertical="top" wrapText="1"/>
    </xf>
    <xf numFmtId="0" fontId="0" fillId="0" borderId="24" applyAlignment="1" pivotButton="0" quotePrefix="0" xfId="0">
      <alignment horizontal="center" vertical="top" wrapText="1"/>
    </xf>
    <xf numFmtId="0" fontId="2" fillId="4" borderId="23" applyAlignment="1" pivotButton="0" quotePrefix="0" xfId="0">
      <alignment horizontal="center" vertical="top"/>
    </xf>
    <xf numFmtId="0" fontId="0" fillId="6" borderId="24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/>
    </xf>
    <xf numFmtId="0" fontId="0" fillId="0" borderId="17" applyAlignment="1" pivotButton="0" quotePrefix="0" xfId="0">
      <alignment horizontal="center" vertical="top" wrapText="1"/>
    </xf>
    <xf numFmtId="49" fontId="0" fillId="7" borderId="5" applyAlignment="1" pivotButton="0" quotePrefix="0" xfId="0">
      <alignment vertical="top" wrapText="1"/>
    </xf>
    <xf numFmtId="49" fontId="15" fillId="0" borderId="3" applyAlignment="1" pivotButton="0" quotePrefix="0" xfId="0">
      <alignment vertical="top" wrapText="1"/>
    </xf>
    <xf numFmtId="0" fontId="15" fillId="0" borderId="3" applyAlignment="1" pivotButton="0" quotePrefix="0" xfId="0">
      <alignment vertical="top" wrapText="1"/>
    </xf>
    <xf numFmtId="0" fontId="15" fillId="6" borderId="3" applyAlignment="1" pivotButton="0" quotePrefix="0" xfId="0">
      <alignment vertical="top" wrapText="1"/>
    </xf>
    <xf numFmtId="49" fontId="15" fillId="6" borderId="3" applyAlignment="1" pivotButton="0" quotePrefix="0" xfId="0">
      <alignment vertical="top" wrapText="1"/>
    </xf>
    <xf numFmtId="49" fontId="15" fillId="0" borderId="24" applyAlignment="1" pivotButton="0" quotePrefix="0" xfId="0">
      <alignment vertical="top" wrapText="1"/>
    </xf>
    <xf numFmtId="0" fontId="16" fillId="5" borderId="3" applyAlignment="1" pivotButton="0" quotePrefix="0" xfId="0">
      <alignment vertical="top" wrapText="1"/>
    </xf>
    <xf numFmtId="0" fontId="0" fillId="0" borderId="34" pivotButton="0" quotePrefix="0" xfId="0"/>
    <xf numFmtId="0" fontId="0" fillId="6" borderId="33" applyAlignment="1" pivotButton="0" quotePrefix="0" xfId="0">
      <alignment vertical="top" wrapText="1"/>
    </xf>
    <xf numFmtId="0" fontId="15" fillId="6" borderId="33" applyAlignment="1" pivotButton="0" quotePrefix="0" xfId="0">
      <alignment vertical="top" wrapText="1"/>
    </xf>
    <xf numFmtId="49" fontId="0" fillId="0" borderId="33" applyAlignment="1" pivotButton="0" quotePrefix="0" xfId="0">
      <alignment vertical="top" wrapText="1"/>
    </xf>
    <xf numFmtId="0" fontId="0" fillId="0" borderId="33" applyAlignment="1" pivotButton="0" quotePrefix="0" xfId="0">
      <alignment vertical="top" wrapText="1"/>
    </xf>
    <xf numFmtId="0" fontId="0" fillId="0" borderId="34" pivotButton="0" quotePrefix="0" xfId="0"/>
    <xf numFmtId="49" fontId="2" fillId="2" borderId="31" applyAlignment="1" pivotButton="0" quotePrefix="0" xfId="0">
      <alignment vertical="top" wrapText="1"/>
    </xf>
    <xf numFmtId="0" fontId="0" fillId="0" borderId="32" pivotButton="0" quotePrefix="0" xfId="0"/>
    <xf numFmtId="0" fontId="0" fillId="6" borderId="27" applyAlignment="1" pivotButton="0" quotePrefix="0" xfId="0">
      <alignment vertical="top" wrapText="1"/>
    </xf>
    <xf numFmtId="0" fontId="0" fillId="0" borderId="28" pivotButton="0" quotePrefix="0" xfId="0"/>
    <xf numFmtId="0" fontId="0" fillId="6" borderId="33" applyAlignment="1" pivotButton="0" quotePrefix="0" xfId="0">
      <alignment vertical="top" wrapText="1"/>
    </xf>
    <xf numFmtId="0" fontId="2" fillId="4" borderId="33" applyAlignment="1" pivotButton="0" quotePrefix="0" xfId="0">
      <alignment vertical="top"/>
    </xf>
    <xf numFmtId="0" fontId="2" fillId="4" borderId="39" applyAlignment="1" pivotButton="0" quotePrefix="0" xfId="0">
      <alignment vertical="top"/>
    </xf>
    <xf numFmtId="0" fontId="0" fillId="0" borderId="40" pivotButton="0" quotePrefix="0" xfId="0"/>
    <xf numFmtId="49" fontId="0" fillId="0" borderId="33" applyAlignment="1" pivotButton="0" quotePrefix="0" xfId="0">
      <alignment vertical="top" wrapText="1"/>
    </xf>
    <xf numFmtId="0" fontId="0" fillId="0" borderId="27" applyAlignment="1" pivotButton="0" quotePrefix="0" xfId="0">
      <alignment vertical="top" wrapText="1"/>
    </xf>
    <xf numFmtId="49" fontId="0" fillId="6" borderId="33" applyAlignment="1" pivotButton="0" quotePrefix="0" xfId="0">
      <alignment vertical="top" wrapText="1"/>
    </xf>
    <xf numFmtId="0" fontId="0" fillId="0" borderId="41" applyAlignment="1" pivotButton="0" quotePrefix="0" xfId="0">
      <alignment vertical="top" wrapText="1"/>
    </xf>
    <xf numFmtId="0" fontId="0" fillId="0" borderId="42" pivotButton="0" quotePrefix="0" xfId="0"/>
    <xf numFmtId="0" fontId="0" fillId="6" borderId="37" applyAlignment="1" pivotButton="0" quotePrefix="0" xfId="0">
      <alignment vertical="top" wrapText="1"/>
    </xf>
    <xf numFmtId="0" fontId="0" fillId="0" borderId="38" pivotButton="0" quotePrefix="0" xfId="0"/>
    <xf numFmtId="0" fontId="0" fillId="6" borderId="35" applyAlignment="1" pivotButton="0" quotePrefix="0" xfId="0">
      <alignment vertical="top" wrapText="1"/>
    </xf>
    <xf numFmtId="0" fontId="0" fillId="0" borderId="36" pivotButton="0" quotePrefix="0" xfId="0"/>
    <xf numFmtId="0" fontId="2" fillId="4" borderId="29" applyAlignment="1" pivotButton="0" quotePrefix="0" xfId="0">
      <alignment vertical="top"/>
    </xf>
    <xf numFmtId="0" fontId="0" fillId="0" borderId="30" pivotButton="0" quotePrefix="0" xfId="0"/>
    <xf numFmtId="0" fontId="0" fillId="0" borderId="31" applyAlignment="1" pivotButton="0" quotePrefix="0" xfId="0">
      <alignment vertical="top" wrapText="1"/>
    </xf>
    <xf numFmtId="49" fontId="2" fillId="2" borderId="6" applyAlignment="1" pivotButton="0" quotePrefix="0" xfId="0">
      <alignment horizontal="center" vertical="top" wrapText="1"/>
    </xf>
    <xf numFmtId="0" fontId="0" fillId="0" borderId="43" pivotButton="0" quotePrefix="0" xfId="0"/>
    <xf numFmtId="0" fontId="15" fillId="6" borderId="33" applyAlignment="1" pivotButton="0" quotePrefix="0" xfId="0">
      <alignment vertical="top" wrapText="1"/>
    </xf>
    <xf numFmtId="0" fontId="0" fillId="0" borderId="37" applyAlignment="1" pivotButton="0" quotePrefix="0" xfId="0">
      <alignment vertical="top" wrapText="1"/>
    </xf>
    <xf numFmtId="0" fontId="0" fillId="6" borderId="31" applyAlignment="1" pivotButton="0" quotePrefix="0" xfId="0">
      <alignment vertical="top" wrapText="1"/>
    </xf>
    <xf numFmtId="49" fontId="0" fillId="0" borderId="27" applyAlignment="1" pivotButton="0" quotePrefix="0" xfId="0">
      <alignment vertical="top" wrapText="1"/>
    </xf>
    <xf numFmtId="49" fontId="0" fillId="6" borderId="27" applyAlignment="1" pivotButton="0" quotePrefix="0" xfId="0">
      <alignment vertical="top" wrapText="1"/>
    </xf>
    <xf numFmtId="0" fontId="15" fillId="0" borderId="33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49" fontId="15" fillId="6" borderId="5" applyAlignment="1" pivotButton="0" quotePrefix="0" xfId="0">
      <alignment vertical="top" wrapText="1"/>
    </xf>
    <xf numFmtId="49" fontId="15" fillId="0" borderId="44" applyAlignment="1" pivotButton="0" quotePrefix="0" xfId="0">
      <alignment vertical="top" wrapText="1"/>
    </xf>
    <xf numFmtId="0" fontId="15" fillId="0" borderId="37" applyAlignment="1" pivotButton="0" quotePrefix="0" xfId="0">
      <alignment vertical="top" wrapText="1"/>
    </xf>
    <xf numFmtId="0" fontId="15" fillId="0" borderId="19" applyAlignment="1" pivotButton="0" quotePrefix="0" xfId="0">
      <alignment vertical="top" wrapText="1"/>
    </xf>
    <xf numFmtId="0" fontId="15" fillId="0" borderId="17" applyAlignment="1" pivotButton="0" quotePrefix="0" xfId="0">
      <alignment vertical="top" wrapText="1"/>
    </xf>
    <xf numFmtId="0" fontId="0" fillId="8" borderId="3" applyAlignment="1" pivotButton="0" quotePrefix="0" xfId="0">
      <alignment horizontal="center" vertical="top" wrapText="1"/>
    </xf>
    <xf numFmtId="49" fontId="0" fillId="8" borderId="3" applyAlignment="1" pivotButton="0" quotePrefix="0" xfId="0">
      <alignment horizontal="center" vertical="top" wrapText="1"/>
    </xf>
    <xf numFmtId="0" fontId="0" fillId="8" borderId="24" applyAlignment="1" pivotButton="0" quotePrefix="0" xfId="0">
      <alignment horizontal="center" vertical="top" wrapText="1"/>
    </xf>
    <xf numFmtId="0" fontId="0" fillId="8" borderId="17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EFFFE"/>
      <rgbColor rgb="FF00A1FE"/>
      <rgbColor rgb="FF1CB000"/>
      <rgbColor rgb="FFF27100"/>
      <rgbColor rgb="FFED220B"/>
      <rgbColor rgb="FFD783FF"/>
      <rgbColor rgb="FFA9A9A9"/>
      <rgbColor rgb="FF9437FF"/>
      <rgbColor rgb="FF941651"/>
      <rgbColor rgb="FFD3D3D3"/>
      <rgbColor rgb="FFDBDBDB"/>
      <rgbColor rgb="FFEAEAEA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10" defaultColWidth="16.33203125" defaultRowHeight="20" customHeight="1"/>
  <cols>
    <col width="26.5" customWidth="1" style="132" min="1" max="1"/>
    <col width="41.83203125" customWidth="1" style="132" min="2" max="2"/>
    <col width="38.1640625" customWidth="1" style="132" min="3" max="3"/>
    <col width="16.33203125" customWidth="1" style="132" min="4" max="7"/>
  </cols>
  <sheetData>
    <row r="1" ht="27.75" customHeight="1" s="132">
      <c r="A1" s="131" t="inlineStr">
        <is>
          <t>Card Types</t>
        </is>
      </c>
    </row>
    <row r="2" ht="20.25" customHeight="1" s="132">
      <c r="A2" s="1" t="inlineStr">
        <is>
          <t>Types</t>
        </is>
      </c>
      <c r="B2" s="1" t="inlineStr">
        <is>
          <t>Explanation</t>
        </is>
      </c>
      <c r="C2" s="2" t="n"/>
      <c r="D2" s="2" t="n"/>
      <c r="E2" s="2" t="n"/>
    </row>
    <row r="3" ht="32.25" customHeight="1" s="132">
      <c r="A3" s="3" t="inlineStr">
        <is>
          <t>Special Move</t>
        </is>
      </c>
      <c r="B3" s="4" t="inlineStr">
        <is>
          <t>Move cards that usually result in an attempted shot after applying an effect</t>
        </is>
      </c>
      <c r="C3" s="5" t="n"/>
      <c r="D3" s="5" t="n"/>
      <c r="E3" s="5" t="n"/>
    </row>
    <row r="4" ht="20" customHeight="1" s="132">
      <c r="A4" s="6" t="inlineStr">
        <is>
          <t>Clamp</t>
        </is>
      </c>
      <c r="B4" s="6" t="inlineStr">
        <is>
          <t>Interfere with opposing players</t>
        </is>
      </c>
      <c r="C4" s="7" t="n"/>
      <c r="D4" s="7" t="n"/>
      <c r="E4" s="7" t="n"/>
    </row>
    <row r="5" ht="20" customHeight="1" s="132">
      <c r="A5" s="6" t="inlineStr">
        <is>
          <t>Move</t>
        </is>
      </c>
      <c r="B5" s="6" t="inlineStr">
        <is>
          <t>Varying effects. Most increase Shot %</t>
        </is>
      </c>
      <c r="C5" s="7" t="n"/>
      <c r="D5" s="7" t="n"/>
      <c r="E5" s="7" t="n"/>
    </row>
    <row r="6" ht="56" customHeight="1" s="132">
      <c r="A6" s="6" t="inlineStr">
        <is>
          <t>Pass</t>
        </is>
      </c>
      <c r="B6" s="6" t="inlineStr">
        <is>
          <t>The most plentiful card type. Usually changes possession of the ball while increasing Shot %. If a player scores following a turn you gave them possession, you gain +1 AST</t>
        </is>
      </c>
      <c r="C6" s="7" t="n"/>
      <c r="D6" s="7" t="n"/>
      <c r="E6" s="7" t="n"/>
    </row>
    <row r="7" ht="32" customHeight="1" s="132">
      <c r="A7" s="6" t="inlineStr">
        <is>
          <t>Whistle</t>
        </is>
      </c>
      <c r="B7" s="6" t="inlineStr">
        <is>
          <t>Similar to Clamps, but have broader game-altering effects</t>
        </is>
      </c>
      <c r="C7" s="7" t="n"/>
      <c r="D7" s="7" t="n"/>
      <c r="E7" s="7" t="n"/>
    </row>
    <row r="8" ht="44" customHeight="1" s="132">
      <c r="A8" s="6" t="inlineStr">
        <is>
          <t>Intangible</t>
        </is>
      </c>
      <c r="B8" s="6" t="inlineStr">
        <is>
          <t>Play these immediately when dealt. These cards grant passive effects and persist for the remainder of the match unless removed with another card’s effect</t>
        </is>
      </c>
      <c r="C8" s="7" t="n"/>
      <c r="D8" s="7" t="n"/>
      <c r="E8" s="7" t="n"/>
    </row>
    <row r="9" ht="20" customHeight="1" s="132">
      <c r="A9" s="6" t="inlineStr">
        <is>
          <t>Game Break</t>
        </is>
      </c>
      <c r="B9" s="6" t="inlineStr">
        <is>
          <t>Play these immediately when dealt. One-off effects</t>
        </is>
      </c>
      <c r="C9" s="7" t="n"/>
      <c r="D9" s="7" t="n"/>
      <c r="E9" s="7" t="n"/>
    </row>
    <row r="10" ht="32" customHeight="1" s="132">
      <c r="A10" s="6" t="inlineStr">
        <is>
          <t>Injury Game Break</t>
        </is>
      </c>
      <c r="B10" s="6" t="inlineStr">
        <is>
          <t>These have one-off negative effects but do not reshuffle into the deck each round</t>
        </is>
      </c>
      <c r="C10" s="7" t="n"/>
      <c r="D10" s="7" t="n"/>
      <c r="E10" s="7" t="n"/>
    </row>
    <row r="11" ht="32" customHeight="1" s="132">
      <c r="A11" s="6" t="inlineStr">
        <is>
          <t>Devastating Injury Game Break</t>
        </is>
      </c>
      <c r="B11" s="6" t="inlineStr">
        <is>
          <t xml:space="preserve">Same as above but also have effects that linger through the rounds </t>
        </is>
      </c>
      <c r="C11" s="7" t="n"/>
      <c r="D11" s="7" t="n"/>
      <c r="E11" s="7" t="n"/>
    </row>
  </sheetData>
  <mergeCells count="1">
    <mergeCell ref="A1:E1"/>
  </mergeCells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17"/>
  <sheetViews>
    <sheetView showGridLines="0" tabSelected="1" workbookViewId="0">
      <pane ySplit="2" topLeftCell="A86" activePane="bottomLeft" state="frozenSplit"/>
      <selection pane="bottomLeft" activeCell="F79" sqref="F79"/>
    </sheetView>
  </sheetViews>
  <sheetFormatPr baseColWidth="10" defaultColWidth="16.33203125" defaultRowHeight="22.25" customHeight="1"/>
  <cols>
    <col width="15.5" customWidth="1" style="8" min="1" max="1"/>
    <col width="13" customWidth="1" style="8" min="2" max="2"/>
    <col width="15.1640625" customWidth="1" style="8" min="3" max="3"/>
    <col width="20.83203125" customWidth="1" style="8" min="4" max="4"/>
    <col width="20.1640625" customWidth="1" style="8" min="5" max="5"/>
    <col width="15" customWidth="1" style="132" min="6" max="6"/>
    <col width="20.1640625" customWidth="1" style="8" min="7" max="7"/>
    <col width="14.6640625" customWidth="1" style="8" min="8" max="9"/>
    <col width="48.5" customWidth="1" style="132" min="10" max="10"/>
    <col width="19.1640625" customWidth="1" style="132" min="11" max="11"/>
    <col width="13" customWidth="1" style="132" min="12" max="12"/>
    <col width="16.33203125" customWidth="1" style="132" min="13" max="13"/>
    <col width="84.6640625" customWidth="1" style="132" min="14" max="14"/>
    <col width="30.83203125" customWidth="1" style="132" min="15" max="15"/>
    <col width="16.33203125" customWidth="1" style="132" min="16" max="16"/>
    <col width="30.83203125" customWidth="1" style="132" min="17" max="17"/>
    <col width="16.33203125" customWidth="1" style="132" min="18" max="19"/>
  </cols>
  <sheetData>
    <row r="1" ht="26.75" customHeight="1" s="132">
      <c r="A1" s="9" t="inlineStr">
        <is>
          <t>Card Types</t>
        </is>
      </c>
      <c r="B1" s="10" t="inlineStr">
        <is>
          <t>Pass</t>
        </is>
      </c>
      <c r="C1" s="11" t="inlineStr">
        <is>
          <t>Move</t>
        </is>
      </c>
      <c r="D1" s="11" t="inlineStr">
        <is>
          <t>Clamp</t>
        </is>
      </c>
      <c r="E1" s="11" t="inlineStr">
        <is>
          <t>Whistle</t>
        </is>
      </c>
      <c r="F1" s="11" t="inlineStr">
        <is>
          <t>Game Break</t>
        </is>
      </c>
      <c r="G1" s="11" t="inlineStr">
        <is>
          <t>Injury GB</t>
        </is>
      </c>
      <c r="H1" s="11" t="inlineStr">
        <is>
          <t>Devastating Injury GB</t>
        </is>
      </c>
      <c r="I1" s="11" t="inlineStr">
        <is>
          <t>Intangible</t>
        </is>
      </c>
      <c r="J1" s="11" t="n"/>
    </row>
    <row r="2" ht="29.75" customHeight="1" s="132">
      <c r="A2" s="9" t="inlineStr">
        <is>
          <t>Totals</t>
        </is>
      </c>
      <c r="B2" s="12">
        <f>COUNTIF($B$5:$B$117,"Pass")</f>
        <v/>
      </c>
      <c r="C2" s="13">
        <f>COUNTIF($B$5:$B$117,"Move")+COUNTIF($B$5:$B$117,"Special Move")</f>
        <v/>
      </c>
      <c r="D2" s="14">
        <f>COUNTIF($B$5:$B$117,"Clamp")</f>
        <v/>
      </c>
      <c r="E2" s="15">
        <f>COUNTIF($B$5:$B$117,"Whistle")</f>
        <v/>
      </c>
      <c r="F2" s="16">
        <f>COUNTIF($B$5:$B$117,"Game Break")</f>
        <v/>
      </c>
      <c r="G2" s="18">
        <f>COUNTIF($B$5:$B$117,"Injury GB")</f>
        <v/>
      </c>
      <c r="H2" s="19">
        <f>COUNTIF($B$5:$B$117,"Devastating Injury GB")</f>
        <v/>
      </c>
      <c r="I2" s="17">
        <f>COUNTIF($B$5:$B$117,"Intangible")</f>
        <v/>
      </c>
      <c r="J2" s="19" t="n"/>
    </row>
    <row r="3"/>
    <row r="4" ht="20.75" customHeight="1" s="132" thickBot="1">
      <c r="A4" s="123" t="inlineStr">
        <is>
          <t>Type</t>
        </is>
      </c>
      <c r="B4" s="124" t="n"/>
      <c r="C4" s="20" t="inlineStr">
        <is>
          <t>Name</t>
        </is>
      </c>
      <c r="D4" s="20" t="inlineStr">
        <is>
          <t>Effect</t>
        </is>
      </c>
      <c r="E4" s="20" t="inlineStr">
        <is>
          <t>Bonus Effect</t>
        </is>
      </c>
      <c r="F4" s="20" t="inlineStr">
        <is>
          <t>Number in Deck</t>
        </is>
      </c>
      <c r="G4" s="103" t="inlineStr">
        <is>
          <t>Notes</t>
        </is>
      </c>
      <c r="H4" s="104" t="n"/>
      <c r="I4" s="104" t="n"/>
      <c r="J4" s="104" t="n"/>
    </row>
    <row r="5" ht="20" customHeight="1" s="132">
      <c r="A5" s="21" t="inlineStr">
        <is>
          <t>Pass</t>
        </is>
      </c>
      <c r="B5" s="22">
        <f>COUNTIF($B$5:$B$117,"Pass")</f>
        <v/>
      </c>
      <c r="C5" s="23" t="n"/>
      <c r="D5" s="23" t="n"/>
      <c r="E5" s="23" t="n"/>
      <c r="F5" s="72" t="n"/>
      <c r="G5" s="120" t="n"/>
      <c r="H5" s="121" t="n"/>
      <c r="I5" s="121" t="n"/>
      <c r="J5" s="121" t="n"/>
    </row>
    <row r="6" ht="56" customHeight="1" s="132">
      <c r="A6" s="24" t="n"/>
      <c r="B6" s="25" t="inlineStr">
        <is>
          <t>Pass</t>
        </is>
      </c>
      <c r="C6" s="26" t="inlineStr">
        <is>
          <t>Behind-the-Back</t>
        </is>
      </c>
      <c r="D6" s="27" t="inlineStr">
        <is>
          <t>Pass back to player who passed to you. If ball not received from a player, TOV +1</t>
        </is>
      </c>
      <c r="E6" s="28" t="n"/>
      <c r="F6" s="73" t="n">
        <v>5</v>
      </c>
      <c r="G6" s="105" t="n"/>
      <c r="H6" s="106" t="n"/>
      <c r="I6" s="106" t="n"/>
      <c r="J6" s="106" t="n"/>
    </row>
    <row r="7" ht="28" customHeight="1" s="132">
      <c r="A7" s="29" t="n"/>
      <c r="B7" s="30" t="inlineStr">
        <is>
          <t>Pass</t>
        </is>
      </c>
      <c r="C7" s="31" t="inlineStr">
        <is>
          <t>Dime</t>
        </is>
      </c>
      <c r="D7" s="6" t="inlineStr">
        <is>
          <t>Pass to player of choice. SHOT +10%</t>
        </is>
      </c>
      <c r="E7" s="6" t="inlineStr">
        <is>
          <t>If new player scores that turn: AST +1</t>
        </is>
      </c>
      <c r="F7" s="74" t="n">
        <v>10</v>
      </c>
      <c r="G7" s="112" t="n"/>
      <c r="H7" s="106" t="n"/>
      <c r="I7" s="106" t="n"/>
      <c r="J7" s="106" t="n"/>
    </row>
    <row r="8" ht="56" customHeight="1" s="132">
      <c r="A8" s="29" t="n"/>
      <c r="B8" s="30" t="inlineStr">
        <is>
          <t>Pass</t>
        </is>
      </c>
      <c r="C8" s="32" t="inlineStr">
        <is>
          <t>Lob</t>
        </is>
      </c>
      <c r="D8" s="94" t="inlineStr">
        <is>
          <t>SHOT +10%. Pass to player of choice. They must attempt a shot as their first action.</t>
        </is>
      </c>
      <c r="E8" s="34" t="n"/>
      <c r="F8" s="75" t="n"/>
      <c r="G8" s="105" t="n"/>
      <c r="H8" s="106" t="n"/>
      <c r="I8" s="106" t="n"/>
      <c r="J8" s="106" t="n"/>
    </row>
    <row r="9" ht="56" customHeight="1" s="132">
      <c r="A9" s="29" t="n"/>
      <c r="B9" s="30" t="inlineStr">
        <is>
          <t>Pass</t>
        </is>
      </c>
      <c r="C9" s="31" t="inlineStr">
        <is>
          <t>Nutmeg</t>
        </is>
      </c>
      <c r="D9" s="6" t="inlineStr">
        <is>
          <t>Pass Left or Right. Move 1 card from new player to next player in same direction. SHOT +5%</t>
        </is>
      </c>
      <c r="E9" s="7" t="n"/>
      <c r="F9" s="76" t="n"/>
      <c r="G9" s="112" t="n"/>
      <c r="H9" s="106" t="n"/>
      <c r="I9" s="106" t="n"/>
      <c r="J9" s="106" t="n"/>
    </row>
    <row r="10" ht="14" customHeight="1" s="132">
      <c r="A10" s="29" t="n"/>
      <c r="B10" s="30" t="inlineStr">
        <is>
          <t>Pass</t>
        </is>
      </c>
      <c r="C10" s="32" t="inlineStr">
        <is>
          <t>Skip Pass</t>
        </is>
      </c>
      <c r="D10" s="33" t="inlineStr">
        <is>
          <t>Pass Across. SHOT +5%</t>
        </is>
      </c>
      <c r="E10" s="34" t="n"/>
      <c r="F10" s="75" t="n">
        <v>20</v>
      </c>
      <c r="G10" s="105" t="n"/>
      <c r="H10" s="106" t="n"/>
      <c r="I10" s="106" t="n"/>
      <c r="J10" s="106" t="n"/>
    </row>
    <row r="11" ht="14" customHeight="1" s="132">
      <c r="A11" s="29" t="n"/>
      <c r="B11" s="30" t="inlineStr">
        <is>
          <t>Pass</t>
        </is>
      </c>
      <c r="C11" s="31" t="inlineStr">
        <is>
          <t>Swing Left</t>
        </is>
      </c>
      <c r="D11" s="6" t="inlineStr">
        <is>
          <t>Pass Left. SHOT +5%</t>
        </is>
      </c>
      <c r="E11" s="7" t="n"/>
      <c r="F11" s="76" t="n">
        <v>31</v>
      </c>
      <c r="G11" s="112" t="n"/>
      <c r="H11" s="106" t="n"/>
      <c r="I11" s="106" t="n"/>
      <c r="J11" s="106" t="n"/>
    </row>
    <row r="12" ht="14" customHeight="1" s="132">
      <c r="A12" s="29" t="n"/>
      <c r="B12" s="30" t="inlineStr">
        <is>
          <t>Pass</t>
        </is>
      </c>
      <c r="C12" s="32" t="inlineStr">
        <is>
          <t>Swing Right</t>
        </is>
      </c>
      <c r="D12" s="33" t="inlineStr">
        <is>
          <t>Pass Right. SHOT +5%</t>
        </is>
      </c>
      <c r="E12" s="34" t="n"/>
      <c r="F12" s="75" t="n">
        <v>31</v>
      </c>
      <c r="G12" s="105" t="n"/>
      <c r="H12" s="106" t="n"/>
      <c r="I12" s="106" t="n"/>
      <c r="J12" s="106" t="n"/>
    </row>
    <row r="13" ht="28" customHeight="1" s="132">
      <c r="A13" s="29" t="n"/>
      <c r="B13" s="30" t="inlineStr">
        <is>
          <t>Pass</t>
        </is>
      </c>
      <c r="C13" s="31" t="inlineStr">
        <is>
          <t>No-Look</t>
        </is>
      </c>
      <c r="D13" s="6" t="inlineStr">
        <is>
          <t>Pass to random other player. SHOT +5%</t>
        </is>
      </c>
      <c r="E13" s="7" t="n"/>
      <c r="F13" s="76" t="n">
        <v>15</v>
      </c>
      <c r="G13" s="112" t="n"/>
      <c r="H13" s="106" t="n"/>
      <c r="I13" s="106" t="n"/>
      <c r="J13" s="106" t="n"/>
    </row>
    <row r="14" ht="29" customHeight="1" s="132" thickBot="1">
      <c r="A14" s="35" t="n"/>
      <c r="B14" s="36" t="inlineStr">
        <is>
          <t>Pass</t>
        </is>
      </c>
      <c r="C14" s="37" t="inlineStr">
        <is>
          <t>Bullet Pass</t>
        </is>
      </c>
      <c r="D14" s="38" t="inlineStr">
        <is>
          <t>Pass to player of choice. SHOT +5%</t>
        </is>
      </c>
      <c r="E14" s="38" t="inlineStr">
        <is>
          <t>New players discards 1 card at random</t>
        </is>
      </c>
      <c r="F14" s="77" t="n">
        <v>12</v>
      </c>
      <c r="G14" s="127" t="n"/>
      <c r="H14" s="104" t="n"/>
      <c r="I14" s="104" t="n"/>
      <c r="J14" s="104" t="n"/>
    </row>
    <row r="15" ht="20" customHeight="1" s="132">
      <c r="A15" s="39" t="inlineStr">
        <is>
          <t>Move</t>
        </is>
      </c>
      <c r="B15" s="40">
        <f>COUNTIF($B$5:$B$117,"Move")+COUNTIF($B$5:$B$117,"Special Move")</f>
        <v/>
      </c>
      <c r="C15" s="41" t="n"/>
      <c r="D15" s="41" t="n"/>
      <c r="E15" s="41" t="n"/>
      <c r="F15" s="78" t="n"/>
      <c r="G15" s="120" t="n"/>
      <c r="H15" s="121" t="n"/>
      <c r="I15" s="121" t="n"/>
      <c r="J15" s="121" t="n"/>
    </row>
    <row r="16" ht="14" customHeight="1" s="132">
      <c r="A16" s="45" t="n"/>
      <c r="B16" s="46" t="inlineStr">
        <is>
          <t>Move</t>
        </is>
      </c>
      <c r="C16" s="47" t="inlineStr">
        <is>
          <t>Dribble</t>
        </is>
      </c>
      <c r="D16" s="48" t="inlineStr">
        <is>
          <t>Draw 1 card. SHOT -10%</t>
        </is>
      </c>
      <c r="E16" s="49" t="n"/>
      <c r="F16" s="79" t="n">
        <v>15</v>
      </c>
      <c r="G16" s="118" t="n"/>
      <c r="H16" s="119" t="n"/>
      <c r="I16" s="119" t="n"/>
      <c r="J16" s="119" t="n"/>
    </row>
    <row r="17" ht="28" customHeight="1" s="132">
      <c r="A17" s="29" t="n"/>
      <c r="B17" s="30" t="inlineStr">
        <is>
          <t>Move</t>
        </is>
      </c>
      <c r="C17" s="31" t="inlineStr">
        <is>
          <t>Drive</t>
        </is>
      </c>
      <c r="D17" s="6" t="inlineStr">
        <is>
          <t>SHOT +10%</t>
        </is>
      </c>
      <c r="E17" s="6" t="inlineStr">
        <is>
          <t>Following Dribble: SHOT +10%</t>
        </is>
      </c>
      <c r="F17" s="74" t="n">
        <v>7</v>
      </c>
      <c r="G17" s="101" t="n"/>
      <c r="H17" s="102" t="n"/>
      <c r="I17" s="102" t="n"/>
      <c r="J17" s="102" t="n"/>
    </row>
    <row r="18" ht="28" customHeight="1" s="132">
      <c r="A18" s="29" t="n"/>
      <c r="B18" s="30" t="inlineStr">
        <is>
          <t>Move</t>
        </is>
      </c>
      <c r="C18" s="32" t="inlineStr">
        <is>
          <t>Ankle Breaker</t>
        </is>
      </c>
      <c r="D18" s="33" t="inlineStr">
        <is>
          <t>Target player discards 1 card. SHOT +10%</t>
        </is>
      </c>
      <c r="E18" s="34" t="n"/>
      <c r="F18" s="75" t="n">
        <v>10</v>
      </c>
      <c r="G18" s="107" t="n"/>
      <c r="H18" s="102" t="n"/>
      <c r="I18" s="102" t="n"/>
      <c r="J18" s="102" t="n"/>
    </row>
    <row r="19" ht="56" customHeight="1" s="132">
      <c r="A19" s="29" t="n"/>
      <c r="B19" s="30" t="inlineStr">
        <is>
          <t>Move</t>
        </is>
      </c>
      <c r="C19" s="90" t="inlineStr">
        <is>
          <t>Flop</t>
        </is>
      </c>
      <c r="D19" s="91" t="inlineStr">
        <is>
          <t>Cancel Clamps. Take 1 FT for each. If no Clamps on you, TOV +1</t>
        </is>
      </c>
      <c r="E19" s="7" t="n"/>
      <c r="F19" s="76" t="n">
        <v>5</v>
      </c>
      <c r="G19" s="130" t="inlineStr">
        <is>
          <t>Take 1 FT attempt for each Clamp on you and cancel it. If no Clamps on you, TOV +1</t>
        </is>
      </c>
      <c r="H19" s="102" t="n"/>
      <c r="I19" s="102" t="n"/>
      <c r="J19" s="102" t="n"/>
    </row>
    <row r="20" ht="14" customHeight="1" s="132">
      <c r="A20" s="29" t="n"/>
      <c r="B20" s="30" t="inlineStr">
        <is>
          <t>Move</t>
        </is>
      </c>
      <c r="C20" s="32" t="inlineStr">
        <is>
          <t>Hesi</t>
        </is>
      </c>
      <c r="D20" s="33" t="inlineStr">
        <is>
          <t>SHOT +10%</t>
        </is>
      </c>
      <c r="E20" s="33" t="inlineStr">
        <is>
          <t>Shot Clock -1</t>
        </is>
      </c>
      <c r="F20" s="80" t="n">
        <v>15</v>
      </c>
      <c r="G20" s="107" t="n"/>
      <c r="H20" s="102" t="n"/>
      <c r="I20" s="102" t="n"/>
      <c r="J20" s="102" t="n"/>
    </row>
    <row r="21" ht="28" customHeight="1" s="132">
      <c r="A21" s="29" t="n"/>
      <c r="B21" s="30" t="inlineStr">
        <is>
          <t>Move</t>
        </is>
      </c>
      <c r="C21" s="31" t="inlineStr">
        <is>
          <t>Pump Fake</t>
        </is>
      </c>
      <c r="D21" s="6" t="inlineStr">
        <is>
          <t>SHOT +10%</t>
        </is>
      </c>
      <c r="E21" s="6" t="inlineStr">
        <is>
          <t>Cancel all Clamps on you</t>
        </is>
      </c>
      <c r="F21" s="74" t="n">
        <v>12</v>
      </c>
      <c r="G21" s="101" t="n"/>
      <c r="H21" s="102" t="n"/>
      <c r="I21" s="102" t="n"/>
      <c r="J21" s="102" t="n"/>
    </row>
    <row r="22" ht="28" customHeight="1" s="132">
      <c r="A22" s="29" t="n"/>
      <c r="B22" s="30" t="inlineStr">
        <is>
          <t>Move</t>
        </is>
      </c>
      <c r="C22" s="32" t="inlineStr">
        <is>
          <t>Rhythm Dribble</t>
        </is>
      </c>
      <c r="D22" s="33" t="inlineStr">
        <is>
          <t>Draw 1 card. SHOT +10%. Shot Clock -1</t>
        </is>
      </c>
      <c r="E22" s="34" t="n"/>
      <c r="F22" s="75" t="n">
        <v>5</v>
      </c>
      <c r="G22" s="107" t="n"/>
      <c r="H22" s="102" t="n"/>
      <c r="I22" s="102" t="n"/>
      <c r="J22" s="102" t="n"/>
    </row>
    <row r="23" ht="28" customHeight="1" s="132">
      <c r="A23" s="29" t="n"/>
      <c r="B23" s="30" t="inlineStr">
        <is>
          <t>Move</t>
        </is>
      </c>
      <c r="C23" s="133" t="inlineStr">
        <is>
          <t>Pound Dribble</t>
        </is>
      </c>
      <c r="D23" s="94" t="inlineStr">
        <is>
          <t>Draw 2 cards then Discard 1. SHOT +10% Shot Clock -1</t>
        </is>
      </c>
      <c r="E23" s="34" t="n"/>
      <c r="F23" s="75" t="n">
        <v>5</v>
      </c>
      <c r="G23" s="107" t="n"/>
      <c r="H23" s="102" t="n"/>
      <c r="I23" s="102" t="n"/>
      <c r="J23" s="102" t="n"/>
    </row>
    <row r="24" ht="28" customHeight="1" s="132">
      <c r="A24" s="29" t="n"/>
      <c r="B24" s="30" t="inlineStr">
        <is>
          <t>Move</t>
        </is>
      </c>
      <c r="C24" s="133" t="inlineStr">
        <is>
          <t>Spin Move</t>
        </is>
      </c>
      <c r="D24" s="94" t="inlineStr">
        <is>
          <t>SHOT + 10%. If being Clamped, discard all Clamps and gain additional SHOT +10% for each</t>
        </is>
      </c>
      <c r="E24" s="34" t="n"/>
      <c r="F24" s="75" t="n">
        <v>10</v>
      </c>
      <c r="G24" s="125" t="inlineStr">
        <is>
          <t>isDribble = true</t>
        </is>
      </c>
      <c r="H24" s="102" t="n"/>
      <c r="I24" s="102" t="n"/>
      <c r="J24" s="102" t="n"/>
    </row>
    <row r="25" ht="28" customHeight="1" s="132">
      <c r="A25" s="29" t="n"/>
      <c r="B25" s="30" t="inlineStr">
        <is>
          <t>Move</t>
        </is>
      </c>
      <c r="C25" s="133" t="inlineStr">
        <is>
          <t>Crossover</t>
        </is>
      </c>
      <c r="D25" s="94" t="inlineStr">
        <is>
          <t>Draw 1 Card. SHOT +10%. If being Clamped, discard all clamps and Draw 1 card and Clamp-sender discards 1card for each</t>
        </is>
      </c>
      <c r="E25" s="34" t="n"/>
      <c r="F25" s="75" t="n">
        <v>5</v>
      </c>
      <c r="G25" s="125" t="inlineStr">
        <is>
          <t>isDribble = true</t>
        </is>
      </c>
      <c r="H25" s="102" t="n"/>
      <c r="I25" s="102" t="n"/>
      <c r="J25" s="102" t="n"/>
    </row>
    <row r="26" ht="14" customHeight="1" s="132">
      <c r="A26" s="29" t="n"/>
      <c r="B26" s="30" t="inlineStr">
        <is>
          <t>Move</t>
        </is>
      </c>
      <c r="C26" s="31" t="inlineStr">
        <is>
          <t>Stepback</t>
        </is>
      </c>
      <c r="D26" s="6" t="inlineStr">
        <is>
          <t>SHOT +10%</t>
        </is>
      </c>
      <c r="E26" s="6" t="inlineStr">
        <is>
          <t>Discard 1: SHOT +10%</t>
        </is>
      </c>
      <c r="F26" s="74" t="n">
        <v>12</v>
      </c>
      <c r="G26" s="101" t="inlineStr">
        <is>
          <t>The discard is an optional prompt.</t>
        </is>
      </c>
      <c r="H26" s="102" t="n"/>
      <c r="I26" s="102" t="n"/>
      <c r="J26" s="102" t="n"/>
    </row>
    <row r="27" ht="71" customHeight="1" s="132" thickBot="1">
      <c r="A27" s="61" t="n"/>
      <c r="B27" s="62" t="inlineStr">
        <is>
          <t>Move</t>
        </is>
      </c>
      <c r="C27" s="63" t="inlineStr">
        <is>
          <t>Triple Threat</t>
        </is>
      </c>
      <c r="D27" s="64" t="inlineStr">
        <is>
          <t>Choose 1:
Draw 1 card
Pass to player of choice (SHOT +5%)
SHOT +10%</t>
        </is>
      </c>
      <c r="E27" s="64" t="inlineStr">
        <is>
          <t>Cannot use further Move cards</t>
        </is>
      </c>
      <c r="F27" s="81" t="n">
        <v>15</v>
      </c>
      <c r="G27" s="116" t="inlineStr">
        <is>
          <t>Cannot use further Move cards applies to that possession only.</t>
        </is>
      </c>
      <c r="H27" s="117" t="n"/>
      <c r="I27" s="117" t="n"/>
      <c r="J27" s="117" t="n"/>
    </row>
    <row r="28" ht="20" customHeight="1" s="132">
      <c r="A28" s="42" t="inlineStr">
        <is>
          <t>Special Move</t>
        </is>
      </c>
      <c r="B28" s="43">
        <f>COUNTIF($B$5:$B$117,"Special Move")</f>
        <v/>
      </c>
      <c r="C28" s="44" t="n"/>
      <c r="D28" s="44" t="n"/>
      <c r="E28" s="44" t="n"/>
      <c r="F28" s="82" t="n"/>
      <c r="G28" s="120" t="n"/>
      <c r="H28" s="121" t="n"/>
      <c r="I28" s="121" t="n"/>
      <c r="J28" s="121" t="n"/>
    </row>
    <row r="29" ht="42" customHeight="1" s="132">
      <c r="A29" s="24" t="n"/>
      <c r="B29" s="25" t="inlineStr">
        <is>
          <t>Special Move</t>
        </is>
      </c>
      <c r="C29" s="26" t="inlineStr">
        <is>
          <t>Bankshot</t>
        </is>
      </c>
      <c r="D29" s="27" t="inlineStr">
        <is>
          <t>Flip a coin:
Heads: SHOT +10%
Tails: SHOT -10%</t>
        </is>
      </c>
      <c r="E29" s="27" t="inlineStr">
        <is>
          <t>Shoot the ball</t>
        </is>
      </c>
      <c r="F29" s="83" t="n">
        <v>4</v>
      </c>
      <c r="G29" s="105" t="n"/>
      <c r="H29" s="106" t="n"/>
      <c r="I29" s="106" t="n"/>
      <c r="J29" s="106" t="n"/>
    </row>
    <row r="30" ht="14" customHeight="1" s="132">
      <c r="A30" s="29" t="n"/>
      <c r="B30" s="30" t="inlineStr">
        <is>
          <t>Special Move</t>
        </is>
      </c>
      <c r="C30" s="31" t="inlineStr">
        <is>
          <t>Buzzer Beater</t>
        </is>
      </c>
      <c r="D30" s="6" t="inlineStr">
        <is>
          <t>SHOT = 100%</t>
        </is>
      </c>
      <c r="E30" s="6" t="inlineStr">
        <is>
          <t>Shoot the ball</t>
        </is>
      </c>
      <c r="F30" s="74" t="n">
        <v>4</v>
      </c>
      <c r="G30" s="128" t="inlineStr">
        <is>
          <t>Can only play with Shot Clock at 1</t>
        </is>
      </c>
      <c r="H30" s="106" t="n"/>
      <c r="I30" s="106" t="n"/>
      <c r="J30" s="106" t="n"/>
    </row>
    <row r="31" ht="28" customHeight="1" s="132">
      <c r="A31" s="29" t="n"/>
      <c r="B31" s="30" t="inlineStr">
        <is>
          <t>Special Move</t>
        </is>
      </c>
      <c r="C31" s="32" t="inlineStr">
        <is>
          <t>Dagger Three</t>
        </is>
      </c>
      <c r="D31" s="94" t="inlineStr">
        <is>
          <t>[SHOT + 30% at 01 Shot Clock, +20% at 02, +10% at 03, +0% at 04, -10% at 05, etc.]</t>
        </is>
      </c>
      <c r="E31" s="33" t="inlineStr">
        <is>
          <t>Shoot the ball. +1 Point on make</t>
        </is>
      </c>
      <c r="F31" s="80" t="n">
        <v>4</v>
      </c>
      <c r="G31" s="105" t="n"/>
      <c r="H31" s="106" t="n"/>
      <c r="I31" s="106" t="n"/>
      <c r="J31" s="106" t="n"/>
    </row>
    <row r="32" ht="14" customHeight="1" s="132">
      <c r="A32" s="29" t="n"/>
      <c r="B32" s="30" t="inlineStr">
        <is>
          <t>Special Move</t>
        </is>
      </c>
      <c r="C32" s="31" t="inlineStr">
        <is>
          <t>Fadeaway</t>
        </is>
      </c>
      <c r="D32" s="6" t="inlineStr">
        <is>
          <t>SHOT -10%. Draw 1 card</t>
        </is>
      </c>
      <c r="E32" s="6" t="inlineStr">
        <is>
          <t>Shoot the ball.</t>
        </is>
      </c>
      <c r="F32" s="74" t="n">
        <v>10</v>
      </c>
      <c r="G32" s="112" t="n"/>
      <c r="H32" s="106" t="n"/>
      <c r="I32" s="106" t="n"/>
      <c r="J32" s="106" t="n"/>
    </row>
    <row r="33" ht="28" customHeight="1" s="132">
      <c r="A33" s="29" t="n"/>
      <c r="B33" s="30" t="inlineStr">
        <is>
          <t>Special Move</t>
        </is>
      </c>
      <c r="C33" s="32" t="inlineStr">
        <is>
          <t>From the Hash</t>
        </is>
      </c>
      <c r="D33" s="94" t="inlineStr">
        <is>
          <t>SHOT -20%</t>
        </is>
      </c>
      <c r="E33" s="33" t="inlineStr">
        <is>
          <t>Shoot the ball. +1 Point on make</t>
        </is>
      </c>
      <c r="F33" s="80" t="n">
        <v>3</v>
      </c>
      <c r="G33" s="105" t="n"/>
      <c r="H33" s="106" t="n"/>
      <c r="I33" s="106" t="n"/>
      <c r="J33" s="106" t="n"/>
    </row>
    <row r="34" ht="28" customHeight="1" s="132">
      <c r="A34" s="29" t="n"/>
      <c r="B34" s="30" t="inlineStr">
        <is>
          <t>Special Move</t>
        </is>
      </c>
      <c r="C34" s="31" t="inlineStr">
        <is>
          <t>From the Logo</t>
        </is>
      </c>
      <c r="D34" s="91" t="inlineStr">
        <is>
          <t>SHOT -30%</t>
        </is>
      </c>
      <c r="E34" s="6" t="inlineStr">
        <is>
          <t>Shoot the ball. +1 Point on make</t>
        </is>
      </c>
      <c r="F34" s="74" t="n">
        <v>3</v>
      </c>
      <c r="G34" s="112" t="n"/>
      <c r="H34" s="106" t="n"/>
      <c r="I34" s="106" t="n"/>
      <c r="J34" s="106" t="n"/>
    </row>
    <row r="35" ht="28" customHeight="1" s="132">
      <c r="A35" s="29" t="n"/>
      <c r="B35" s="30" t="inlineStr">
        <is>
          <t>Special Move</t>
        </is>
      </c>
      <c r="C35" s="32" t="inlineStr">
        <is>
          <t>Full-Court Heave</t>
        </is>
      </c>
      <c r="D35" s="33" t="inlineStr">
        <is>
          <t>SHOT = 10%</t>
        </is>
      </c>
      <c r="E35" s="33" t="inlineStr">
        <is>
          <t>Shoot the ball. +1 Point on make</t>
        </is>
      </c>
      <c r="F35" s="80" t="n">
        <v>3</v>
      </c>
      <c r="G35" s="105" t="n"/>
      <c r="H35" s="106" t="n"/>
      <c r="I35" s="106" t="n"/>
      <c r="J35" s="106" t="n"/>
    </row>
    <row r="36" ht="42" customHeight="1" s="132">
      <c r="A36" s="29" t="n"/>
      <c r="B36" s="30" t="inlineStr">
        <is>
          <t>Special Move</t>
        </is>
      </c>
      <c r="C36" s="31" t="inlineStr">
        <is>
          <t>Putback Tip</t>
        </is>
      </c>
      <c r="D36" s="6" t="inlineStr">
        <is>
          <t>SHOT +10%</t>
        </is>
      </c>
      <c r="E36" s="6" t="inlineStr">
        <is>
          <t>Shoot the ball. After a missed shot: SHOT = 100%</t>
        </is>
      </c>
      <c r="F36" s="74" t="n">
        <v>3</v>
      </c>
      <c r="G36" s="112" t="n"/>
      <c r="H36" s="106" t="n"/>
      <c r="I36" s="106" t="n"/>
      <c r="J36" s="106" t="n"/>
    </row>
    <row r="37" ht="28" customHeight="1" s="132">
      <c r="A37" s="29" t="n"/>
      <c r="B37" s="30" t="inlineStr">
        <is>
          <t>Special Move</t>
        </is>
      </c>
      <c r="C37" s="32" t="inlineStr">
        <is>
          <t>Skyhook</t>
        </is>
      </c>
      <c r="D37" s="33" t="inlineStr">
        <is>
          <t>SHOT +10%</t>
        </is>
      </c>
      <c r="E37" s="94" t="inlineStr">
        <is>
          <t>Shoot the ball. Shot is unaffected by Clamps</t>
        </is>
      </c>
      <c r="F37" s="80" t="n">
        <v>4</v>
      </c>
      <c r="G37" s="105" t="n"/>
      <c r="H37" s="106" t="n"/>
      <c r="I37" s="106" t="n"/>
      <c r="J37" s="106" t="n"/>
    </row>
    <row r="38" ht="28" customHeight="1" s="132">
      <c r="A38" s="29" t="n"/>
      <c r="B38" s="30" t="inlineStr">
        <is>
          <t>Special Move</t>
        </is>
      </c>
      <c r="C38" s="31" t="inlineStr">
        <is>
          <t>Slam Dunk</t>
        </is>
      </c>
      <c r="D38" s="6" t="inlineStr">
        <is>
          <t>SHOT +10%. SHOT = 100% if SHOT &gt;= 70%</t>
        </is>
      </c>
      <c r="E38" s="6" t="inlineStr">
        <is>
          <t>Shoot the ball</t>
        </is>
      </c>
      <c r="F38" s="74" t="n">
        <v>4</v>
      </c>
      <c r="G38" s="112" t="n"/>
      <c r="H38" s="106" t="n"/>
      <c r="I38" s="106" t="n"/>
      <c r="J38" s="106" t="n"/>
    </row>
    <row r="39" ht="42" customHeight="1" s="132">
      <c r="A39" s="52" t="n"/>
      <c r="B39" s="53" t="inlineStr">
        <is>
          <t>Special Move</t>
        </is>
      </c>
      <c r="C39" s="69" t="inlineStr">
        <is>
          <t>Turnaround Three</t>
        </is>
      </c>
      <c r="D39" s="70" t="inlineStr">
        <is>
          <t>Discard any number of cards. SHOT +10% for each</t>
        </is>
      </c>
      <c r="E39" s="70" t="inlineStr">
        <is>
          <t>Shoot the ball. +1 Point on make</t>
        </is>
      </c>
      <c r="F39" s="84" t="n">
        <v>1</v>
      </c>
      <c r="G39" s="129" t="inlineStr">
        <is>
          <t>Only 1 in deck</t>
        </is>
      </c>
      <c r="H39" s="106" t="n"/>
      <c r="I39" s="106" t="n"/>
      <c r="J39" s="106" t="n"/>
    </row>
    <row r="40" ht="57" customHeight="1" s="132" thickBot="1">
      <c r="A40" s="61" t="n"/>
      <c r="B40" s="62" t="inlineStr">
        <is>
          <t>Special Move</t>
        </is>
      </c>
      <c r="C40" s="66" t="inlineStr">
        <is>
          <t>Euro Step</t>
        </is>
      </c>
      <c r="D40" s="67" t="inlineStr">
        <is>
          <t>Flip a coin until you get Tails. For each Heads, SHOT +5% and Draw 1 card</t>
        </is>
      </c>
      <c r="E40" s="68" t="n"/>
      <c r="F40" s="85" t="n">
        <v>5</v>
      </c>
      <c r="G40" s="122" t="n"/>
      <c r="H40" s="104" t="n"/>
      <c r="I40" s="104" t="n"/>
      <c r="J40" s="104" t="n"/>
    </row>
    <row r="41" ht="20" customHeight="1" s="132">
      <c r="A41" s="58" t="inlineStr">
        <is>
          <t>Clamp</t>
        </is>
      </c>
      <c r="B41" s="59">
        <f>COUNTIF($B$5:$B$117,"Clamp")</f>
        <v/>
      </c>
      <c r="C41" s="60" t="n"/>
      <c r="D41" s="60" t="n"/>
      <c r="E41" s="60" t="n"/>
      <c r="F41" s="86" t="n"/>
      <c r="G41" s="109" t="n"/>
      <c r="H41" s="110" t="n"/>
      <c r="I41" s="110" t="n"/>
      <c r="J41" s="110" t="n"/>
    </row>
    <row r="42" ht="28" customHeight="1" s="132">
      <c r="A42" s="29" t="n"/>
      <c r="B42" s="30" t="inlineStr">
        <is>
          <t>Clamp</t>
        </is>
      </c>
      <c r="C42" s="31" t="inlineStr">
        <is>
          <t>Contest</t>
        </is>
      </c>
      <c r="D42" s="6" t="inlineStr">
        <is>
          <t>Next player SHOT -25% if they shoot</t>
        </is>
      </c>
      <c r="E42" s="7" t="n"/>
      <c r="F42" s="76" t="n">
        <v>10</v>
      </c>
      <c r="G42" s="130" t="inlineStr">
        <is>
          <t>1 def</t>
        </is>
      </c>
      <c r="H42" s="102" t="n"/>
      <c r="I42" s="102" t="n"/>
      <c r="J42" s="102" t="n"/>
    </row>
    <row r="43" ht="28" customHeight="1" s="132">
      <c r="A43" s="29" t="n"/>
      <c r="B43" s="30" t="inlineStr">
        <is>
          <t>Clamp</t>
        </is>
      </c>
      <c r="C43" s="32" t="inlineStr">
        <is>
          <t>Double-Team</t>
        </is>
      </c>
      <c r="D43" s="33" t="inlineStr">
        <is>
          <t>Next Player cannot play 2 random cards from hand.</t>
        </is>
      </c>
      <c r="E43" s="34" t="n"/>
      <c r="F43" s="75" t="n">
        <v>4</v>
      </c>
      <c r="G43" s="125" t="inlineStr">
        <is>
          <t>2 def</t>
        </is>
      </c>
      <c r="H43" s="102" t="n"/>
      <c r="I43" s="102" t="n"/>
      <c r="J43" s="102" t="n"/>
    </row>
    <row r="44" ht="42" customHeight="1" s="132">
      <c r="A44" s="29" t="n"/>
      <c r="B44" s="30" t="inlineStr">
        <is>
          <t>Clamp</t>
        </is>
      </c>
      <c r="C44" s="31" t="inlineStr">
        <is>
          <t>Full-Court Press</t>
        </is>
      </c>
      <c r="D44" s="6" t="inlineStr">
        <is>
          <t>Next player discards 2 cards at the start of their turn</t>
        </is>
      </c>
      <c r="E44" s="7" t="n"/>
      <c r="F44" s="76" t="n">
        <v>3</v>
      </c>
      <c r="G44" s="130" t="inlineStr">
        <is>
          <t>1 def</t>
        </is>
      </c>
      <c r="H44" s="102" t="n"/>
      <c r="I44" s="102" t="n"/>
      <c r="J44" s="102" t="n"/>
    </row>
    <row r="45" ht="42" customHeight="1" s="132">
      <c r="A45" s="29" t="n"/>
      <c r="B45" s="30" t="inlineStr">
        <is>
          <t>Clamp</t>
        </is>
      </c>
      <c r="C45" s="32" t="inlineStr">
        <is>
          <t>Trap</t>
        </is>
      </c>
      <c r="D45" s="94" t="inlineStr">
        <is>
          <t>Next player can only play Pass cards during their turn</t>
        </is>
      </c>
      <c r="E45" s="34" t="n"/>
      <c r="F45" s="75" t="n">
        <v>5</v>
      </c>
      <c r="G45" s="125" t="inlineStr">
        <is>
          <t>They can still shoot as another option; 3 def</t>
        </is>
      </c>
      <c r="H45" s="102" t="n"/>
      <c r="I45" s="102" t="n"/>
      <c r="J45" s="102" t="n"/>
    </row>
    <row r="46" ht="29" customHeight="1" s="132" thickBot="1">
      <c r="A46" s="61" t="n"/>
      <c r="B46" s="62" t="inlineStr">
        <is>
          <t>Clamp</t>
        </is>
      </c>
      <c r="C46" s="66" t="inlineStr">
        <is>
          <t>Triple-Team</t>
        </is>
      </c>
      <c r="D46" s="67" t="inlineStr">
        <is>
          <t>Next player cannot play 3 random cards from hand.</t>
        </is>
      </c>
      <c r="E46" s="68" t="n"/>
      <c r="F46" s="85" t="n">
        <v>2</v>
      </c>
      <c r="G46" s="135" t="inlineStr">
        <is>
          <t>3 def</t>
        </is>
      </c>
      <c r="H46" s="117" t="n"/>
      <c r="I46" s="117" t="n"/>
      <c r="J46" s="117" t="n"/>
    </row>
    <row r="47" ht="20" customHeight="1" s="132">
      <c r="A47" s="58" t="inlineStr">
        <is>
          <t>Whistle</t>
        </is>
      </c>
      <c r="B47" s="59">
        <f>COUNTIF($B$5:$B$117,"Whistle")</f>
        <v/>
      </c>
      <c r="C47" s="60" t="n"/>
      <c r="D47" s="60" t="n"/>
      <c r="E47" s="60" t="n"/>
      <c r="F47" s="86" t="n"/>
      <c r="G47" s="109" t="n"/>
      <c r="H47" s="110" t="n"/>
      <c r="I47" s="110" t="n"/>
      <c r="J47" s="110" t="n"/>
    </row>
    <row r="48" ht="56" customHeight="1" s="132">
      <c r="A48" s="29" t="inlineStr">
        <is>
          <t>All whistles are limited to 1</t>
        </is>
      </c>
      <c r="B48" s="30" t="inlineStr">
        <is>
          <t>Whistle</t>
        </is>
      </c>
      <c r="C48" s="31" t="inlineStr">
        <is>
          <t>Back Court Violation</t>
        </is>
      </c>
      <c r="D48" s="6" t="inlineStr">
        <is>
          <t>Pass Card Played: Cancel that card. That player TOV +1. Move ball to player of choice</t>
        </is>
      </c>
      <c r="E48" s="7" t="n"/>
      <c r="F48" s="138" t="n"/>
      <c r="G48" s="101" t="inlineStr">
        <is>
          <t>The player who played this whistle chooses, excluding the player who played the pass but including themselves.</t>
        </is>
      </c>
      <c r="H48" s="102" t="n"/>
      <c r="I48" s="102" t="n"/>
      <c r="J48" s="102" t="n"/>
    </row>
    <row r="49" ht="47" customHeight="1" s="132">
      <c r="A49" s="29" t="n"/>
      <c r="B49" s="30" t="inlineStr">
        <is>
          <t>Whistle</t>
        </is>
      </c>
      <c r="C49" s="90" t="inlineStr">
        <is>
          <t>Blocking Foul</t>
        </is>
      </c>
      <c r="D49" s="93" t="inlineStr">
        <is>
          <t>Clamp Card Played: Cancel card. Clamped player +1 FT</t>
        </is>
      </c>
      <c r="E49" s="34" t="n"/>
      <c r="F49" s="138" t="n"/>
      <c r="G49" s="107" t="n"/>
      <c r="H49" s="102" t="n"/>
      <c r="I49" s="102" t="n"/>
      <c r="J49" s="102" t="n"/>
    </row>
    <row r="50" ht="54" customHeight="1" s="132">
      <c r="A50" s="29" t="n"/>
      <c r="B50" s="30" t="inlineStr">
        <is>
          <t>Whistle</t>
        </is>
      </c>
      <c r="C50" s="31" t="inlineStr">
        <is>
          <t>Charge</t>
        </is>
      </c>
      <c r="D50" s="92" t="inlineStr">
        <is>
          <t>Shot Attempt: Cancel. Shooter Inbounds</t>
        </is>
      </c>
      <c r="E50" s="7" t="n"/>
      <c r="F50" s="138" t="n"/>
      <c r="G50" s="101" t="n"/>
      <c r="H50" s="102" t="n"/>
      <c r="I50" s="102" t="n"/>
      <c r="J50" s="102" t="n"/>
    </row>
    <row r="51" ht="28" customHeight="1" s="132">
      <c r="A51" s="29" t="n"/>
      <c r="B51" s="30" t="inlineStr">
        <is>
          <t>Whistle</t>
        </is>
      </c>
      <c r="C51" s="32" t="inlineStr">
        <is>
          <t>Cleared to Play</t>
        </is>
      </c>
      <c r="D51" s="33" t="inlineStr">
        <is>
          <t>Injury Card Played: Cancel card.</t>
        </is>
      </c>
      <c r="E51" s="34" t="n"/>
      <c r="F51" s="138" t="n"/>
      <c r="G51" s="107" t="n"/>
      <c r="H51" s="102" t="n"/>
      <c r="I51" s="102" t="n"/>
      <c r="J51" s="102" t="n"/>
    </row>
    <row r="52" ht="28" customHeight="1" s="132">
      <c r="A52" s="29" t="n"/>
      <c r="B52" s="30" t="inlineStr">
        <is>
          <t>Whistle</t>
        </is>
      </c>
      <c r="C52" s="31" t="inlineStr">
        <is>
          <t>Coach’s Challenge</t>
        </is>
      </c>
      <c r="D52" s="6" t="inlineStr">
        <is>
          <t>Any Whistle Card Played: Cancel card.</t>
        </is>
      </c>
      <c r="E52" s="7" t="inlineStr">
        <is>
          <t>Pull a Timeout from the discards, if one is there, and take it</t>
        </is>
      </c>
      <c r="F52" s="138" t="n"/>
      <c r="G52" s="101" t="n"/>
      <c r="H52" s="102" t="n"/>
      <c r="I52" s="102" t="n"/>
      <c r="J52" s="102" t="n"/>
    </row>
    <row r="53" ht="28" customHeight="1" s="132">
      <c r="A53" s="29" t="n"/>
      <c r="B53" s="30" t="inlineStr">
        <is>
          <t>Whistle</t>
        </is>
      </c>
      <c r="C53" s="90" t="inlineStr">
        <is>
          <t>Delay-of-Game Warning</t>
        </is>
      </c>
      <c r="D53" s="94" t="inlineStr">
        <is>
          <t>Lower Shot Clock with a card: Cancel that card's effects</t>
        </is>
      </c>
      <c r="E53" s="33" t="inlineStr">
        <is>
          <t>If 2nd time activated this round: Whistle player takes 1 FT in addition</t>
        </is>
      </c>
      <c r="F53" s="139" t="n"/>
      <c r="G53" s="113" t="inlineStr">
        <is>
          <t>The Shot Clock reduction still applies. Game Breaks do not count — those are game events, not cards the player activates.</t>
        </is>
      </c>
      <c r="H53" s="102" t="n"/>
      <c r="I53" s="102" t="n"/>
      <c r="J53" s="102" t="n"/>
    </row>
    <row r="54" ht="42" customHeight="1" s="132">
      <c r="A54" s="29" t="n"/>
      <c r="B54" s="30" t="inlineStr">
        <is>
          <t>Whistle</t>
        </is>
      </c>
      <c r="C54" s="31" t="inlineStr">
        <is>
          <t>Double Dribble</t>
        </is>
      </c>
      <c r="D54" s="6" t="inlineStr">
        <is>
          <t>Dribble Move Card Played (Dribble, Rhythm Dribble, etc.): Cancel card. Discard 1 card. TOV +1</t>
        </is>
      </c>
      <c r="E54" s="7" t="n"/>
      <c r="F54" s="138" t="n"/>
      <c r="G54" s="101" t="inlineStr">
        <is>
          <t>The dribbling player inbounds. The round is NOT incremented.</t>
        </is>
      </c>
      <c r="H54" s="102" t="n"/>
      <c r="I54" s="102" t="n"/>
      <c r="J54" s="102" t="n"/>
    </row>
    <row r="55" ht="40" customHeight="1" s="132">
      <c r="A55" s="29" t="n"/>
      <c r="B55" s="30" t="inlineStr">
        <is>
          <t>Whistle</t>
        </is>
      </c>
      <c r="C55" s="90" t="inlineStr">
        <is>
          <t>Flagrant Foul</t>
        </is>
      </c>
      <c r="D55" s="94" t="inlineStr">
        <is>
          <t>Clamp Card Played: Cancel card. Clamper discard 1. Clamped player +1 FT then gets ball</t>
        </is>
      </c>
      <c r="E55" s="34" t="n"/>
      <c r="F55" s="138" t="n"/>
      <c r="G55" s="107" t="n"/>
      <c r="H55" s="102" t="n"/>
      <c r="I55" s="102" t="n"/>
      <c r="J55" s="102" t="n"/>
    </row>
    <row r="56" ht="30" customHeight="1" s="132">
      <c r="A56" s="29" t="n"/>
      <c r="B56" s="30" t="inlineStr">
        <is>
          <t>Whistle</t>
        </is>
      </c>
      <c r="C56" s="90" t="inlineStr">
        <is>
          <t>Flagrant Foul II</t>
        </is>
      </c>
      <c r="D56" s="91" t="inlineStr">
        <is>
          <t>Clamp Card Played: Cancel card. Clamper discards Bag. Clamped player +1 FT then gets ball</t>
        </is>
      </c>
      <c r="E56" s="7" t="n"/>
      <c r="F56" s="138" t="n"/>
      <c r="G56" s="101" t="n"/>
      <c r="H56" s="102" t="n"/>
      <c r="I56" s="102" t="n"/>
      <c r="J56" s="102" t="n"/>
    </row>
    <row r="57" ht="56" customHeight="1" s="132">
      <c r="A57" s="29" t="n"/>
      <c r="B57" s="30" t="inlineStr">
        <is>
          <t>Whistle</t>
        </is>
      </c>
      <c r="C57" s="32" t="inlineStr">
        <is>
          <t>Goaltending</t>
        </is>
      </c>
      <c r="D57" s="33" t="inlineStr">
        <is>
          <t>Clamp Card Played: Cancel card. Clamped player +2 points. End round.</t>
        </is>
      </c>
      <c r="E57" s="34" t="n"/>
      <c r="F57" s="138" t="n"/>
      <c r="G57" s="107" t="n"/>
      <c r="H57" s="102" t="n"/>
      <c r="I57" s="102" t="n"/>
      <c r="J57" s="102" t="n"/>
    </row>
    <row r="58" ht="42" customHeight="1" s="132">
      <c r="A58" s="29" t="n"/>
      <c r="B58" s="30" t="inlineStr">
        <is>
          <t>Whistle</t>
        </is>
      </c>
      <c r="C58" s="31" t="inlineStr">
        <is>
          <t>Inadvertent Whistle</t>
        </is>
      </c>
      <c r="D58" s="91" t="inlineStr">
        <is>
          <t>Any other whistle triggers: Cancel that card. Turn player draws 1 card.</t>
        </is>
      </c>
      <c r="E58" s="7" t="n"/>
      <c r="F58" s="138" t="n"/>
      <c r="G58" s="101" t="n"/>
      <c r="H58" s="102" t="n"/>
      <c r="I58" s="102" t="n"/>
      <c r="J58" s="102" t="n"/>
    </row>
    <row r="59" ht="42" customHeight="1" s="132">
      <c r="A59" s="29" t="n"/>
      <c r="B59" s="30" t="inlineStr">
        <is>
          <t>Whistle</t>
        </is>
      </c>
      <c r="C59" s="32" t="inlineStr">
        <is>
          <t>Official Review</t>
        </is>
      </c>
      <c r="D59" s="94" t="inlineStr">
        <is>
          <t>Intangible Played: Discard all Intangibles from player.</t>
        </is>
      </c>
      <c r="E59" s="34" t="n"/>
      <c r="F59" s="138" t="n"/>
      <c r="G59" s="107" t="n"/>
      <c r="H59" s="102" t="n"/>
      <c r="I59" s="102" t="n"/>
      <c r="J59" s="102" t="n"/>
    </row>
    <row r="60" ht="42" customHeight="1" s="132">
      <c r="A60" s="29" t="n"/>
      <c r="B60" s="30" t="inlineStr">
        <is>
          <t>Whistle</t>
        </is>
      </c>
      <c r="C60" s="31" t="inlineStr">
        <is>
          <t>Shot Clock Violation</t>
        </is>
      </c>
      <c r="D60" s="91" t="inlineStr">
        <is>
          <t>Shot Clock is changed: TOV +1. Ball OOB</t>
        </is>
      </c>
      <c r="E60" s="7" t="n"/>
      <c r="F60" s="138" t="n"/>
      <c r="G60" s="101" t="inlineStr">
        <is>
          <t>This inbound does NOT increment the round.</t>
        </is>
      </c>
      <c r="H60" s="102" t="n"/>
      <c r="I60" s="102" t="n"/>
      <c r="J60" s="102" t="n"/>
    </row>
    <row r="61" ht="28" customHeight="1" s="132">
      <c r="A61" s="29" t="n"/>
      <c r="B61" s="30" t="inlineStr">
        <is>
          <t>Whistle</t>
        </is>
      </c>
      <c r="C61" s="32" t="inlineStr">
        <is>
          <t>Technical Foul</t>
        </is>
      </c>
      <c r="D61" s="94" t="inlineStr">
        <is>
          <t>Any Non-Whistle Card Played: Cancel card. Take 1 FT</t>
        </is>
      </c>
      <c r="E61" s="34" t="n"/>
      <c r="F61" s="138" t="n"/>
      <c r="G61" s="107" t="n"/>
      <c r="H61" s="102" t="n"/>
      <c r="I61" s="102" t="n"/>
      <c r="J61" s="102" t="n"/>
    </row>
    <row r="62" ht="42" customHeight="1" s="132">
      <c r="A62" s="29" t="n"/>
      <c r="B62" s="30" t="inlineStr">
        <is>
          <t>Whistle</t>
        </is>
      </c>
      <c r="C62" s="31" t="inlineStr">
        <is>
          <t>Timeout</t>
        </is>
      </c>
      <c r="D62" s="91" t="inlineStr">
        <is>
          <t>Immediate: Reset Shot Clock. You inbound. All players draw 1 card</t>
        </is>
      </c>
      <c r="E62" s="7" t="n"/>
      <c r="F62" s="138" t="n"/>
      <c r="G62" s="101" t="n"/>
      <c r="H62" s="102" t="n"/>
      <c r="I62" s="102" t="n"/>
      <c r="J62" s="102" t="n"/>
    </row>
    <row r="63" ht="29" customHeight="1" s="132" thickBot="1">
      <c r="A63" s="61" t="n"/>
      <c r="B63" s="62" t="inlineStr">
        <is>
          <t>Whistle</t>
        </is>
      </c>
      <c r="C63" s="63" t="inlineStr">
        <is>
          <t>Travel</t>
        </is>
      </c>
      <c r="D63" s="64" t="inlineStr">
        <is>
          <t>Move card played: Cancel card. TOV +1</t>
        </is>
      </c>
      <c r="E63" s="65" t="n"/>
      <c r="F63" s="140" t="n"/>
      <c r="G63" s="116" t="n"/>
      <c r="H63" s="117" t="n"/>
      <c r="I63" s="117" t="n"/>
      <c r="J63" s="117" t="n"/>
    </row>
    <row r="64" ht="20" customHeight="1" s="132">
      <c r="A64" s="61" t="n"/>
      <c r="B64" s="62" t="inlineStr">
        <is>
          <t>Whistle</t>
        </is>
      </c>
      <c r="C64" s="63" t="inlineStr">
        <is>
          <t>Clear Path Foul</t>
        </is>
      </c>
      <c r="D64" s="64" t="inlineStr">
        <is>
          <t>On Shot, when Clamped by SHOT-reducing Clamps: Cancel those Clamps. Award the points the shot was worth. Take 1 FT</t>
        </is>
      </c>
      <c r="E64" s="65" t="n"/>
      <c r="F64" s="140" t="n"/>
      <c r="G64" s="116" t="inlineStr">
        <is>
          <t>Fires as the shot starts, before the cutscene. This DOES count as a completed round.</t>
        </is>
      </c>
      <c r="H64" s="117" t="n"/>
      <c r="I64" s="117" t="n"/>
      <c r="J64" s="117" t="n"/>
    </row>
    <row r="65" ht="28" customHeight="1" s="132">
      <c r="A65" s="58" t="inlineStr">
        <is>
          <t>Game Break</t>
        </is>
      </c>
      <c r="B65" s="59">
        <f>COUNTIF($B$5:$B$117,"Game Break")</f>
        <v/>
      </c>
      <c r="C65" s="60" t="n"/>
      <c r="D65" s="60" t="n"/>
      <c r="E65" s="60" t="n"/>
      <c r="F65" s="86" t="n"/>
      <c r="G65" s="109" t="n"/>
      <c r="H65" s="110" t="n"/>
      <c r="I65" s="110" t="n"/>
      <c r="J65" s="110" t="n"/>
    </row>
    <row r="66" ht="28" customHeight="1" s="132">
      <c r="A66" s="29" t="n"/>
      <c r="B66" s="30" t="inlineStr">
        <is>
          <t>Game Break</t>
        </is>
      </c>
      <c r="C66" s="32" t="inlineStr">
        <is>
          <t>2-Minute Warning</t>
        </is>
      </c>
      <c r="D66" s="33" t="inlineStr">
        <is>
          <t>All players discard down to 2 or fewer cards</t>
        </is>
      </c>
      <c r="E66" s="34" t="n"/>
      <c r="F66" s="75" t="n">
        <v>2</v>
      </c>
      <c r="G66" s="107" t="n"/>
      <c r="H66" s="102" t="n"/>
      <c r="I66" s="102" t="n"/>
      <c r="J66" s="102" t="n"/>
    </row>
    <row r="67" ht="14" customHeight="1" s="132">
      <c r="A67" s="29" t="n"/>
      <c r="B67" s="30" t="inlineStr">
        <is>
          <t>Game Break</t>
        </is>
      </c>
      <c r="C67" s="31" t="inlineStr">
        <is>
          <t>Benched</t>
        </is>
      </c>
      <c r="D67" s="6" t="inlineStr">
        <is>
          <t>Immediately give ball to any other player.</t>
        </is>
      </c>
      <c r="E67" s="7" t="n"/>
      <c r="F67" s="76" t="n">
        <v>5</v>
      </c>
      <c r="G67" s="111" t="inlineStr">
        <is>
          <t>This is not a pass</t>
        </is>
      </c>
      <c r="H67" s="102" t="n"/>
      <c r="I67" s="102" t="n"/>
      <c r="J67" s="102" t="n"/>
    </row>
    <row r="68" ht="14" customHeight="1" s="132">
      <c r="A68" s="29" t="n"/>
      <c r="B68" s="30" t="inlineStr">
        <is>
          <t>Game Break</t>
        </is>
      </c>
      <c r="C68" s="32" t="inlineStr">
        <is>
          <t>Crowd Noise</t>
        </is>
      </c>
      <c r="D68" s="33" t="inlineStr">
        <is>
          <t>Discard 1 card.</t>
        </is>
      </c>
      <c r="E68" s="34" t="n"/>
      <c r="F68" s="75" t="n">
        <v>14</v>
      </c>
      <c r="G68" s="107" t="n"/>
      <c r="H68" s="102" t="n"/>
      <c r="I68" s="102" t="n"/>
      <c r="J68" s="102" t="n"/>
    </row>
    <row r="69" ht="14" customHeight="1" s="132">
      <c r="A69" s="29" t="n"/>
      <c r="B69" s="30" t="inlineStr">
        <is>
          <t>Game Break</t>
        </is>
      </c>
      <c r="C69" s="31" t="inlineStr">
        <is>
          <t>Designed Play</t>
        </is>
      </c>
      <c r="D69" s="6" t="inlineStr">
        <is>
          <t>Draw up to a hand of 5</t>
        </is>
      </c>
      <c r="E69" s="7" t="n"/>
      <c r="F69" s="76" t="n">
        <v>10</v>
      </c>
      <c r="G69" s="101" t="n"/>
      <c r="H69" s="102" t="n"/>
      <c r="I69" s="102" t="n"/>
      <c r="J69" s="102" t="n"/>
    </row>
    <row r="70" ht="28" customHeight="1" s="132">
      <c r="A70" s="29" t="n"/>
      <c r="B70" s="30" t="inlineStr">
        <is>
          <t>Game Break</t>
        </is>
      </c>
      <c r="C70" s="90" t="inlineStr">
        <is>
          <t>Foul</t>
        </is>
      </c>
      <c r="D70" s="33" t="inlineStr">
        <is>
          <t>Take 1 FT</t>
        </is>
      </c>
      <c r="E70" s="34" t="n"/>
      <c r="F70" s="75" t="n">
        <v>5</v>
      </c>
      <c r="G70" s="107" t="n"/>
      <c r="H70" s="102" t="n"/>
      <c r="I70" s="102" t="n"/>
      <c r="J70" s="102" t="n"/>
    </row>
    <row r="71" ht="28" customHeight="1" s="132">
      <c r="A71" s="29" t="n"/>
      <c r="B71" s="30" t="inlineStr">
        <is>
          <t>Game Break</t>
        </is>
      </c>
      <c r="C71" s="31" t="inlineStr">
        <is>
          <t>MVP Vote</t>
        </is>
      </c>
      <c r="D71" s="6" t="inlineStr">
        <is>
          <t>Draw 3 cards up to a hand of 7</t>
        </is>
      </c>
      <c r="E71" s="7" t="n"/>
      <c r="F71" s="76" t="n">
        <v>1</v>
      </c>
      <c r="G71" s="101" t="n"/>
      <c r="H71" s="102" t="n"/>
      <c r="I71" s="102" t="n"/>
      <c r="J71" s="102" t="n"/>
    </row>
    <row r="72" ht="28" customHeight="1" s="132">
      <c r="A72" s="29" t="n"/>
      <c r="B72" s="30" t="inlineStr">
        <is>
          <t>Game Break</t>
        </is>
      </c>
      <c r="C72" s="32" t="inlineStr">
        <is>
          <t>Off Night</t>
        </is>
      </c>
      <c r="D72" s="33" t="inlineStr">
        <is>
          <t>SHOT -20% this possession</t>
        </is>
      </c>
      <c r="E72" s="34" t="n"/>
      <c r="F72" s="75" t="n">
        <v>3</v>
      </c>
      <c r="G72" s="107" t="n"/>
      <c r="H72" s="102" t="n"/>
      <c r="I72" s="102" t="n"/>
      <c r="J72" s="102" t="n"/>
    </row>
    <row r="73" ht="42" customHeight="1" s="132">
      <c r="A73" s="29" t="n"/>
      <c r="B73" s="30" t="inlineStr">
        <is>
          <t>Game Break</t>
        </is>
      </c>
      <c r="C73" s="31" t="inlineStr">
        <is>
          <t>Swallowed Whistle</t>
        </is>
      </c>
      <c r="D73" s="6" t="inlineStr">
        <is>
          <t>Whistle cards cannot activate this turn.</t>
        </is>
      </c>
      <c r="E73" s="6" t="inlineStr">
        <is>
          <t>Remains for remainder of round</t>
        </is>
      </c>
      <c r="F73" s="74" t="n">
        <v>5</v>
      </c>
      <c r="G73" s="101" t="n"/>
      <c r="H73" s="102" t="n"/>
      <c r="I73" s="102" t="n"/>
      <c r="J73" s="102" t="n"/>
    </row>
    <row r="74" ht="28" customHeight="1" s="132">
      <c r="A74" s="29" t="n"/>
      <c r="B74" s="30" t="inlineStr">
        <is>
          <t>Game Break</t>
        </is>
      </c>
      <c r="C74" s="32" t="inlineStr">
        <is>
          <t>Rock Fight</t>
        </is>
      </c>
      <c r="D74" s="33" t="inlineStr">
        <is>
          <t>Players cannot shoot when SHOT is 50% or higher</t>
        </is>
      </c>
      <c r="E74" s="33" t="inlineStr">
        <is>
          <t>Remains for remainder of round</t>
        </is>
      </c>
      <c r="F74" s="80" t="n"/>
      <c r="G74" s="107" t="n"/>
      <c r="H74" s="102" t="n"/>
      <c r="I74" s="102" t="n"/>
      <c r="J74" s="102" t="n"/>
    </row>
    <row r="75" ht="28" customHeight="1" s="132">
      <c r="A75" s="29" t="n"/>
      <c r="B75" s="30" t="inlineStr">
        <is>
          <t>Game Break</t>
        </is>
      </c>
      <c r="C75" s="31" t="inlineStr">
        <is>
          <t>Traded Mid-Game</t>
        </is>
      </c>
      <c r="D75" s="6" t="inlineStr">
        <is>
          <t>Swap positions with random other player</t>
        </is>
      </c>
      <c r="E75" s="7" t="n"/>
      <c r="F75" s="76" t="n"/>
      <c r="G75" s="111" t="inlineStr">
        <is>
          <t>Applies to rest of game</t>
        </is>
      </c>
      <c r="H75" s="102" t="n"/>
      <c r="I75" s="102" t="n"/>
      <c r="J75" s="102" t="n"/>
    </row>
    <row r="76" ht="20" customHeight="1" s="132">
      <c r="A76" s="29" t="n"/>
      <c r="B76" s="30" t="inlineStr">
        <is>
          <t>Game Break</t>
        </is>
      </c>
      <c r="C76" s="134" t="inlineStr">
        <is>
          <t>Salary Cap Increase</t>
        </is>
      </c>
      <c r="D76" s="91" t="inlineStr">
        <is>
          <t>All players draw 2 cards</t>
        </is>
      </c>
      <c r="E76" s="7" t="n"/>
      <c r="F76" s="76" t="n">
        <v>4</v>
      </c>
      <c r="G76" s="111" t="n"/>
      <c r="H76" s="102" t="n"/>
      <c r="I76" s="102" t="n"/>
      <c r="J76" s="102" t="n"/>
    </row>
    <row r="77" ht="28" customHeight="1" s="132">
      <c r="A77" s="29" t="n"/>
      <c r="B77" s="30" t="inlineStr">
        <is>
          <t>Game Break</t>
        </is>
      </c>
      <c r="C77" s="134" t="inlineStr">
        <is>
          <t>All-Swissh Selection</t>
        </is>
      </c>
      <c r="D77" s="91" t="inlineStr">
        <is>
          <t>Draw 3 cards after your next make</t>
        </is>
      </c>
      <c r="E77" s="7" t="n"/>
      <c r="F77" s="76" t="n">
        <v>3</v>
      </c>
      <c r="G77" s="111" t="inlineStr">
        <is>
          <t>Arms an icon in the HUD tracking the pending draws</t>
        </is>
      </c>
      <c r="H77" s="102" t="n"/>
      <c r="I77" s="102" t="n"/>
      <c r="J77" s="102" t="n"/>
    </row>
    <row r="78" ht="20" customHeight="1" s="132">
      <c r="A78" s="29" t="n"/>
      <c r="B78" s="30" t="inlineStr">
        <is>
          <t>Game Break</t>
        </is>
      </c>
      <c r="C78" s="134" t="inlineStr">
        <is>
          <t>All Star Selection</t>
        </is>
      </c>
      <c r="D78" s="91" t="inlineStr">
        <is>
          <t>Draw 2 cards</t>
        </is>
      </c>
      <c r="E78" s="7" t="n"/>
      <c r="F78" s="76" t="n">
        <v>5</v>
      </c>
      <c r="G78" s="111" t="n"/>
      <c r="H78" s="102" t="n"/>
      <c r="I78" s="102" t="n"/>
      <c r="J78" s="102" t="n"/>
    </row>
    <row r="79" ht="42" customHeight="1" s="132">
      <c r="A79" s="29" t="n"/>
      <c r="B79" s="30" t="inlineStr">
        <is>
          <t>Game Break</t>
        </is>
      </c>
      <c r="C79" s="134" t="inlineStr">
        <is>
          <t>Hit the Bike</t>
        </is>
      </c>
      <c r="D79" s="91" t="inlineStr">
        <is>
          <t>Discard all Injuries. Draw 1 card. Give possession to another player</t>
        </is>
      </c>
      <c r="E79" s="7" t="n"/>
      <c r="F79" s="76" t="n">
        <v>5</v>
      </c>
      <c r="G79" s="111" t="inlineStr">
        <is>
          <t>This is not a pass</t>
        </is>
      </c>
      <c r="H79" s="102" t="n"/>
      <c r="I79" s="102" t="n"/>
      <c r="J79" s="102" t="n"/>
    </row>
    <row r="80" ht="28" customHeight="1" s="132">
      <c r="A80" s="29" t="n"/>
      <c r="B80" s="30" t="inlineStr">
        <is>
          <t>Game Break</t>
        </is>
      </c>
      <c r="C80" s="134" t="inlineStr">
        <is>
          <t>Ice Wrap</t>
        </is>
      </c>
      <c r="D80" s="91" t="inlineStr">
        <is>
          <t>Draw 1 card. Discard all Injuries. If none, draw 1 additional card</t>
        </is>
      </c>
      <c r="E80" s="7" t="n"/>
      <c r="F80" s="76" t="n">
        <v>5</v>
      </c>
      <c r="G80" s="111" t="n"/>
      <c r="H80" s="102" t="n"/>
      <c r="I80" s="102" t="n"/>
      <c r="J80" s="102" t="n"/>
    </row>
    <row r="81" ht="56" customHeight="1" s="132">
      <c r="A81" s="29" t="n"/>
      <c r="B81" s="30" t="inlineStr">
        <is>
          <t>Game Break</t>
        </is>
      </c>
      <c r="C81" s="134" t="inlineStr">
        <is>
          <t>Wet Spot</t>
        </is>
      </c>
      <c r="D81" s="91" t="inlineStr">
        <is>
          <t>All Injuries in the discards and deck are displayed. Take one</t>
        </is>
      </c>
      <c r="E81" s="7" t="n"/>
      <c r="F81" s="76" t="n">
        <v>2</v>
      </c>
      <c r="G81" s="111" t="inlineStr">
        <is>
          <t>Deck ones are shown face down</t>
        </is>
      </c>
      <c r="H81" s="102" t="n"/>
      <c r="I81" s="102" t="n"/>
      <c r="J81" s="102" t="n"/>
    </row>
    <row r="82" ht="42" customHeight="1" s="132">
      <c r="A82" s="29" t="n"/>
      <c r="B82" s="30" t="inlineStr">
        <is>
          <t>Game Break</t>
        </is>
      </c>
      <c r="C82" s="134" t="inlineStr">
        <is>
          <t>Fresh Ball</t>
        </is>
      </c>
      <c r="D82" s="91" t="inlineStr">
        <is>
          <t>Next player does not draw at the start of their possession</t>
        </is>
      </c>
      <c r="E82" s="7" t="n"/>
      <c r="F82" s="76" t="n">
        <v>3</v>
      </c>
      <c r="G82" s="111" t="inlineStr">
        <is>
          <t>This is a bad thing in the NBA</t>
        </is>
      </c>
      <c r="H82" s="102" t="n"/>
      <c r="I82" s="102" t="n"/>
      <c r="J82" s="102" t="n"/>
    </row>
    <row r="83" ht="42" customHeight="1" s="132">
      <c r="A83" s="29" t="n"/>
      <c r="B83" s="30" t="inlineStr">
        <is>
          <t>Game Break</t>
        </is>
      </c>
      <c r="C83" s="134" t="inlineStr">
        <is>
          <t>Trade Deadline</t>
        </is>
      </c>
      <c r="D83" s="91" t="inlineStr">
        <is>
          <t>Declare Left or Right: every player passes their hand that way. The ball goes with it</t>
        </is>
      </c>
      <c r="E83" s="7" t="n"/>
      <c r="F83" s="76" t="n">
        <v>3</v>
      </c>
      <c r="G83" s="111" t="inlineStr">
        <is>
          <t>The hex travels in the declared direction too</t>
        </is>
      </c>
      <c r="H83" s="102" t="n"/>
      <c r="I83" s="102" t="n"/>
      <c r="J83" s="102" t="n"/>
    </row>
    <row r="84" ht="28" customHeight="1" s="132">
      <c r="A84" s="29" t="n"/>
      <c r="B84" s="30" t="inlineStr">
        <is>
          <t>Game Break</t>
        </is>
      </c>
      <c r="C84" s="134" t="inlineStr">
        <is>
          <t>Floor Cleanup</t>
        </is>
      </c>
      <c r="D84" s="91" t="inlineStr">
        <is>
          <t>All players shuffle their hands into the deck and draw the same number of cards</t>
        </is>
      </c>
      <c r="E84" s="7" t="n"/>
      <c r="F84" s="76" t="n">
        <v>3</v>
      </c>
      <c r="G84" s="111" t="n"/>
      <c r="H84" s="102" t="n"/>
      <c r="I84" s="102" t="n"/>
      <c r="J84" s="102" t="n"/>
    </row>
    <row r="85" ht="28" customHeight="1" s="132">
      <c r="A85" s="29" t="n"/>
      <c r="B85" s="30" t="inlineStr">
        <is>
          <t>Game Break</t>
        </is>
      </c>
      <c r="C85" s="134" t="inlineStr">
        <is>
          <t>Official Timeout</t>
        </is>
      </c>
      <c r="D85" s="91" t="inlineStr">
        <is>
          <t>At least 1 referee must be armed: discard all Injuries on all players and clear all referees. If none, all players draw 1 card</t>
        </is>
      </c>
      <c r="E85" s="7" t="n"/>
      <c r="F85" s="76" t="n">
        <v>2</v>
      </c>
      <c r="G85" s="111" t="n"/>
      <c r="H85" s="102" t="n"/>
      <c r="I85" s="102" t="n"/>
      <c r="J85" s="102" t="n"/>
    </row>
    <row r="86" ht="56" customHeight="1" s="132">
      <c r="A86" s="29" t="n"/>
      <c r="B86" s="30" t="inlineStr">
        <is>
          <t>Game Break</t>
        </is>
      </c>
      <c r="C86" s="134" t="inlineStr">
        <is>
          <t>Team Doctor</t>
        </is>
      </c>
      <c r="D86" s="91" t="inlineStr">
        <is>
          <t>Discard 1 Injury from a player of choice. Draw 2 cards if not choosing yourself</t>
        </is>
      </c>
      <c r="E86" s="7" t="n"/>
      <c r="F86" s="76" t="n">
        <v>3</v>
      </c>
      <c r="G86" s="111" t="n"/>
      <c r="H86" s="102" t="n"/>
      <c r="I86" s="102" t="n"/>
      <c r="J86" s="102" t="n"/>
    </row>
    <row r="87" ht="56" customHeight="1" s="132">
      <c r="A87" s="55" t="inlineStr">
        <is>
          <t>Injury GB</t>
        </is>
      </c>
      <c r="B87" s="56">
        <f>COUNTIF($B$5:$B$117,"Injury GB")</f>
        <v/>
      </c>
      <c r="C87" s="57" t="n"/>
      <c r="D87" s="57" t="n"/>
      <c r="E87" s="57" t="n"/>
      <c r="F87" s="88" t="n"/>
      <c r="G87" s="108" t="n"/>
      <c r="H87" s="102" t="n"/>
      <c r="I87" s="102" t="n"/>
      <c r="J87" s="102" t="n"/>
    </row>
    <row r="88" ht="28" customHeight="1" s="132">
      <c r="A88" s="29" t="n"/>
      <c r="B88" s="30" t="inlineStr">
        <is>
          <t>Injury GB</t>
        </is>
      </c>
      <c r="C88" s="31" t="inlineStr">
        <is>
          <t>Bone Bruise</t>
        </is>
      </c>
      <c r="D88" s="91" t="inlineStr">
        <is>
          <t>Discard 1 card at the start of each turn after drawing (your choice)</t>
        </is>
      </c>
      <c r="E88" s="7" t="n"/>
      <c r="F88" s="76" t="n">
        <v>3</v>
      </c>
      <c r="G88" s="101" t="n"/>
      <c r="H88" s="102" t="n"/>
      <c r="I88" s="102" t="n"/>
      <c r="J88" s="102" t="n"/>
    </row>
    <row r="89" ht="42" customHeight="1" s="132">
      <c r="A89" s="58" t="inlineStr">
        <is>
          <t>Devastating Injury GB</t>
        </is>
      </c>
      <c r="B89" s="59">
        <f>COUNTIF($B$5:$B$117,"Devastating Injury GB")</f>
        <v/>
      </c>
      <c r="C89" s="60" t="n"/>
      <c r="D89" s="60" t="n"/>
      <c r="E89" s="60" t="n"/>
      <c r="F89" s="86" t="n"/>
      <c r="G89" s="109" t="n"/>
      <c r="H89" s="110" t="n"/>
      <c r="I89" s="110" t="n"/>
      <c r="J89" s="110" t="n"/>
    </row>
    <row r="90" ht="28" customHeight="1" s="132">
      <c r="A90" s="50" t="n"/>
      <c r="B90" s="51" t="inlineStr">
        <is>
          <t>Devastating Injury GB</t>
        </is>
      </c>
      <c r="C90" s="136" t="inlineStr">
        <is>
          <t>Torn Achilles</t>
        </is>
      </c>
      <c r="D90" s="137" t="inlineStr">
        <is>
          <t>Hand is locked every turn except 1 card (randomly)</t>
        </is>
      </c>
      <c r="E90" s="54" t="n"/>
      <c r="F90" s="141" t="n"/>
      <c r="G90" s="114" t="n"/>
      <c r="H90" s="115" t="n"/>
      <c r="I90" s="115" t="n"/>
      <c r="J90" s="115" t="n"/>
    </row>
    <row r="91" ht="42" customHeight="1" s="132">
      <c r="A91" s="55" t="inlineStr">
        <is>
          <t>Intangible</t>
        </is>
      </c>
      <c r="B91" s="56">
        <f>COUNTIF($B$5:$B$117,"Intangible")</f>
        <v/>
      </c>
      <c r="C91" s="57" t="n"/>
      <c r="D91" s="57" t="n"/>
      <c r="E91" s="57" t="n"/>
      <c r="F91" s="88" t="n"/>
      <c r="G91" s="108" t="n"/>
      <c r="H91" s="102" t="n"/>
      <c r="I91" s="102" t="n"/>
      <c r="J91" s="102" t="n"/>
    </row>
    <row r="92" ht="14" customHeight="1" s="132">
      <c r="A92" s="96" t="inlineStr">
        <is>
          <t>All intangibles are limited to 1</t>
        </is>
      </c>
      <c r="B92" s="30" t="inlineStr">
        <is>
          <t>Intangible</t>
        </is>
      </c>
      <c r="C92" s="31" t="inlineStr">
        <is>
          <t>Board-Crasher</t>
        </is>
      </c>
      <c r="D92" s="6" t="inlineStr">
        <is>
          <t>SHOT +10% upon Rebounding your own missed shot</t>
        </is>
      </c>
      <c r="E92" s="7" t="n"/>
      <c r="F92" s="138" t="n"/>
      <c r="G92" s="101" t="n"/>
      <c r="H92" s="102" t="n"/>
      <c r="I92" s="102" t="n"/>
      <c r="J92" s="102" t="n"/>
    </row>
    <row r="93" ht="28" customHeight="1" s="132">
      <c r="A93" s="29" t="n"/>
      <c r="B93" s="30" t="inlineStr">
        <is>
          <t>Intangible</t>
        </is>
      </c>
      <c r="C93" s="32" t="inlineStr">
        <is>
          <t>Catch &amp; Shoot Specialist</t>
        </is>
      </c>
      <c r="D93" s="33" t="inlineStr">
        <is>
          <t>Additional SHOT +10% on all received passes</t>
        </is>
      </c>
      <c r="E93" s="34" t="n"/>
      <c r="F93" s="138" t="n"/>
      <c r="G93" s="107" t="n"/>
      <c r="H93" s="102" t="n"/>
      <c r="I93" s="102" t="n"/>
      <c r="J93" s="102" t="n"/>
    </row>
    <row r="94" ht="28" customHeight="1" s="132">
      <c r="A94" s="29" t="n"/>
      <c r="B94" s="30" t="inlineStr">
        <is>
          <t>Intangible</t>
        </is>
      </c>
      <c r="C94" s="31" t="inlineStr">
        <is>
          <t>Clutch Gene</t>
        </is>
      </c>
      <c r="D94" s="6" t="inlineStr">
        <is>
          <t>SHOT x2 if attempting a shot with 1 or fewer cards in hand or Shot Clock 3 or less</t>
        </is>
      </c>
      <c r="E94" s="7" t="n"/>
      <c r="F94" s="138" t="n"/>
      <c r="G94" s="101" t="n"/>
      <c r="H94" s="102" t="n"/>
      <c r="I94" s="102" t="n"/>
      <c r="J94" s="102" t="n"/>
    </row>
    <row r="95" ht="28" customHeight="1" s="132">
      <c r="A95" s="29" t="n"/>
      <c r="B95" s="30" t="inlineStr">
        <is>
          <t>Intangible</t>
        </is>
      </c>
      <c r="C95" s="32" t="inlineStr">
        <is>
          <t>Floor General</t>
        </is>
      </c>
      <c r="D95" s="33" t="inlineStr">
        <is>
          <t>You choose all targets of all kinds — card declarations, non auto-pass targets, and the rest</t>
        </is>
      </c>
      <c r="E95" s="34" t="n"/>
      <c r="F95" s="138" t="n"/>
      <c r="G95" s="107" t="n"/>
      <c r="H95" s="102" t="n"/>
      <c r="I95" s="102" t="n"/>
      <c r="J95" s="102" t="n"/>
    </row>
    <row r="96" ht="28" customHeight="1" s="132">
      <c r="A96" s="29" t="n"/>
      <c r="B96" s="30" t="inlineStr">
        <is>
          <t>Intangible</t>
        </is>
      </c>
      <c r="C96" s="31" t="inlineStr">
        <is>
          <t>Fox-Like First Step</t>
        </is>
      </c>
      <c r="D96" s="6" t="inlineStr">
        <is>
          <t>All Move cards that reduce SHOT increase it by that amount instead.</t>
        </is>
      </c>
      <c r="E96" s="6" t="inlineStr">
        <is>
          <t>Your Move cards are unaffected by opponents</t>
        </is>
      </c>
      <c r="F96" s="139" t="n"/>
      <c r="G96" s="101" t="n"/>
      <c r="H96" s="102" t="n"/>
      <c r="I96" s="102" t="n"/>
      <c r="J96" s="102" t="n"/>
    </row>
    <row r="97" ht="42" customHeight="1" s="132">
      <c r="A97" s="29" t="n"/>
      <c r="B97" s="30" t="inlineStr">
        <is>
          <t>Intangible</t>
        </is>
      </c>
      <c r="C97" s="90" t="inlineStr">
        <is>
          <t>Freethrow Merchant</t>
        </is>
      </c>
      <c r="D97" s="94" t="inlineStr">
        <is>
          <t>All Clamps on you grant 1 FT instead</t>
        </is>
      </c>
      <c r="E97" s="34" t="n"/>
      <c r="F97" s="138" t="n"/>
      <c r="G97" s="125" t="n"/>
      <c r="H97" s="102" t="n"/>
      <c r="I97" s="102" t="n"/>
      <c r="J97" s="102" t="n"/>
    </row>
    <row r="98" ht="56" customHeight="1" s="132">
      <c r="A98" s="29" t="n"/>
      <c r="B98" s="30" t="inlineStr">
        <is>
          <t>Intangible</t>
        </is>
      </c>
      <c r="C98" s="90" t="inlineStr">
        <is>
          <t>Generational Whistle</t>
        </is>
      </c>
      <c r="D98" s="91" t="inlineStr">
        <is>
          <t>Take 1 additional FT</t>
        </is>
      </c>
      <c r="E98" s="7" t="n"/>
      <c r="F98" s="138" t="n"/>
      <c r="G98" s="101" t="n"/>
      <c r="H98" s="102" t="n"/>
      <c r="I98" s="102" t="n"/>
      <c r="J98" s="102" t="n"/>
    </row>
    <row r="99" ht="57" customHeight="1" s="132" thickBot="1">
      <c r="A99" s="29" t="n"/>
      <c r="B99" s="30" t="inlineStr">
        <is>
          <t>Intangible</t>
        </is>
      </c>
      <c r="C99" s="32" t="inlineStr">
        <is>
          <t>Gravity</t>
        </is>
      </c>
      <c r="D99" s="33" t="inlineStr">
        <is>
          <t>All Clamps automatically apply to you. +1 AST whenever another player attempts a shot</t>
        </is>
      </c>
      <c r="E99" s="34" t="n"/>
      <c r="F99" s="138" t="n"/>
      <c r="G99" s="107" t="n"/>
      <c r="H99" s="102" t="n"/>
      <c r="I99" s="102" t="n"/>
      <c r="J99" s="102" t="n"/>
    </row>
    <row r="100" ht="20" customHeight="1" s="132">
      <c r="A100" s="29" t="n"/>
      <c r="B100" s="30" t="inlineStr">
        <is>
          <t>Intangible</t>
        </is>
      </c>
      <c r="C100" s="31" t="inlineStr">
        <is>
          <t>Great Conditioning</t>
        </is>
      </c>
      <c r="D100" s="6" t="inlineStr">
        <is>
          <t>Immediately discard all Injury Game Breaks you draw and draw a new card for each</t>
        </is>
      </c>
      <c r="E100" s="7" t="n"/>
      <c r="F100" s="138" t="n"/>
      <c r="G100" s="101" t="n"/>
      <c r="H100" s="102" t="n"/>
      <c r="I100" s="102" t="n"/>
      <c r="J100" s="102" t="n"/>
    </row>
    <row r="101" ht="28" customHeight="1" s="132">
      <c r="A101" s="29" t="n"/>
      <c r="B101" s="30" t="inlineStr">
        <is>
          <t>Intangible</t>
        </is>
      </c>
      <c r="C101" s="32" t="inlineStr">
        <is>
          <t>Hot Hand</t>
        </is>
      </c>
      <c r="D101" s="33" t="inlineStr">
        <is>
          <t>SHOT +20% if you scored last round.</t>
        </is>
      </c>
      <c r="E101" s="34" t="n"/>
      <c r="F101" s="138" t="n"/>
      <c r="G101" s="107" t="n"/>
      <c r="H101" s="102" t="n"/>
      <c r="I101" s="102" t="n"/>
      <c r="J101" s="102" t="n"/>
    </row>
    <row r="102">
      <c r="A102" s="29" t="n"/>
      <c r="B102" s="30" t="inlineStr">
        <is>
          <t>Intangible</t>
        </is>
      </c>
      <c r="C102" s="31" t="inlineStr">
        <is>
          <t>Like That</t>
        </is>
      </c>
      <c r="D102" s="91" t="inlineStr">
        <is>
          <t>Your SHOT % cannot be reduced</t>
        </is>
      </c>
      <c r="E102" s="7" t="n"/>
      <c r="F102" s="138" t="n"/>
      <c r="G102" s="101" t="n"/>
      <c r="H102" s="102" t="n"/>
      <c r="I102" s="102" t="n"/>
      <c r="J102" s="102" t="n"/>
    </row>
    <row r="103">
      <c r="A103" s="29" t="n"/>
      <c r="B103" s="30" t="inlineStr">
        <is>
          <t>Intangible</t>
        </is>
      </c>
      <c r="C103" s="32" t="inlineStr">
        <is>
          <t>No Bag</t>
        </is>
      </c>
      <c r="D103" s="33" t="inlineStr">
        <is>
          <t>Cannot activate Move cards this round</t>
        </is>
      </c>
      <c r="E103" s="34" t="n"/>
      <c r="F103" s="138" t="n"/>
      <c r="G103" s="113" t="inlineStr">
        <is>
          <t>Bad card to draw</t>
        </is>
      </c>
      <c r="H103" s="102" t="n"/>
      <c r="I103" s="102" t="n"/>
      <c r="J103" s="102" t="n"/>
    </row>
    <row r="104">
      <c r="A104" s="29" t="n"/>
      <c r="B104" s="30" t="inlineStr">
        <is>
          <t>Intangible</t>
        </is>
      </c>
      <c r="C104" s="31" t="inlineStr">
        <is>
          <t>Point God</t>
        </is>
      </c>
      <c r="D104" s="6" t="inlineStr">
        <is>
          <t>Draw 1 card following each of your passes</t>
        </is>
      </c>
      <c r="E104" s="7" t="n"/>
      <c r="F104" s="138" t="n"/>
      <c r="G104" s="101" t="n"/>
      <c r="H104" s="102" t="n"/>
      <c r="I104" s="102" t="n"/>
      <c r="J104" s="102" t="n"/>
    </row>
    <row r="105">
      <c r="A105" s="29" t="n"/>
      <c r="B105" s="30" t="inlineStr">
        <is>
          <t>Intangible</t>
        </is>
      </c>
      <c r="C105" s="32" t="inlineStr">
        <is>
          <t>Shooting Slump</t>
        </is>
      </c>
      <c r="D105" s="33" t="inlineStr">
        <is>
          <t>SHOT -20% this round</t>
        </is>
      </c>
      <c r="E105" s="34" t="n"/>
      <c r="F105" s="138" t="n"/>
      <c r="G105" s="113" t="inlineStr">
        <is>
          <t>Bad card to draw</t>
        </is>
      </c>
      <c r="H105" s="102" t="n"/>
      <c r="I105" s="102" t="n"/>
      <c r="J105" s="102" t="n"/>
    </row>
    <row r="106">
      <c r="A106" s="29" t="n"/>
      <c r="B106" s="30" t="inlineStr">
        <is>
          <t>Intangible</t>
        </is>
      </c>
      <c r="C106" s="31" t="inlineStr">
        <is>
          <t>Shot Creator</t>
        </is>
      </c>
      <c r="D106" s="6" t="inlineStr">
        <is>
          <t>Draw 1 additional card after every draw effect</t>
        </is>
      </c>
      <c r="E106" s="7" t="n"/>
      <c r="F106" s="138" t="n"/>
      <c r="G106" s="101" t="n"/>
      <c r="H106" s="102" t="n"/>
      <c r="I106" s="102" t="n"/>
      <c r="J106" s="102" t="n"/>
    </row>
    <row r="107">
      <c r="A107" s="29" t="n"/>
      <c r="B107" s="30" t="inlineStr">
        <is>
          <t>Intangible</t>
        </is>
      </c>
      <c r="C107" s="32" t="inlineStr">
        <is>
          <t>Sixth Man</t>
        </is>
      </c>
      <c r="D107" s="33" t="inlineStr">
        <is>
          <t>SHOT = 100% if taking 6th shot of the round</t>
        </is>
      </c>
      <c r="E107" s="34" t="n"/>
      <c r="F107" s="138" t="n"/>
      <c r="G107" s="107" t="n"/>
      <c r="H107" s="102" t="n"/>
      <c r="I107" s="102" t="n"/>
      <c r="J107" s="102" t="n"/>
    </row>
    <row r="108">
      <c r="A108" s="29" t="n"/>
      <c r="B108" s="30" t="inlineStr">
        <is>
          <t>Intangible</t>
        </is>
      </c>
      <c r="C108" s="31" t="inlineStr">
        <is>
          <t>Sniper</t>
        </is>
      </c>
      <c r="D108" s="6" t="inlineStr">
        <is>
          <t>SHOT +10% on all Three-Point Line Shots</t>
        </is>
      </c>
      <c r="E108" s="7" t="n"/>
      <c r="F108" s="138" t="n"/>
      <c r="G108" s="101" t="n"/>
      <c r="H108" s="102" t="n"/>
      <c r="I108" s="102" t="n"/>
      <c r="J108" s="102" t="n"/>
    </row>
    <row r="109">
      <c r="A109" s="29" t="n"/>
      <c r="B109" s="30" t="inlineStr">
        <is>
          <t>Intangible</t>
        </is>
      </c>
      <c r="C109" s="32" t="inlineStr">
        <is>
          <t>Splash Cousin</t>
        </is>
      </c>
      <c r="D109" s="33" t="inlineStr">
        <is>
          <t>All Three-Point Line Shots: SHOT = 100%</t>
        </is>
      </c>
      <c r="E109" s="34" t="n"/>
      <c r="F109" s="138" t="n"/>
      <c r="G109" s="107" t="n"/>
      <c r="H109" s="102" t="n"/>
      <c r="I109" s="102" t="n"/>
      <c r="J109" s="102" t="n"/>
    </row>
    <row r="110">
      <c r="A110" s="29" t="n"/>
      <c r="B110" s="30" t="inlineStr">
        <is>
          <t>Intangible</t>
        </is>
      </c>
      <c r="C110" s="31" t="inlineStr">
        <is>
          <t>Unguardable</t>
        </is>
      </c>
      <c r="D110" s="91" t="inlineStr">
        <is>
          <t>All Clamps on you have no effect on SHOT %</t>
        </is>
      </c>
      <c r="E110" s="7" t="n"/>
      <c r="F110" s="138" t="n"/>
      <c r="G110" s="101" t="n"/>
      <c r="H110" s="102" t="n"/>
      <c r="I110" s="102" t="n"/>
      <c r="J110" s="102" t="n"/>
    </row>
    <row r="111">
      <c r="A111" s="29" t="n"/>
      <c r="B111" s="30" t="inlineStr">
        <is>
          <t>Intangible</t>
        </is>
      </c>
      <c r="C111" s="32" t="inlineStr">
        <is>
          <t>Lethal Shooter</t>
        </is>
      </c>
      <c r="D111" s="33" t="inlineStr">
        <is>
          <t>SHOT = 100% on next shot attempt after rebounding your own miss.</t>
        </is>
      </c>
      <c r="E111" s="34" t="n"/>
      <c r="F111" s="138" t="n"/>
      <c r="G111" s="113" t="inlineStr">
        <is>
          <t>Special text: “I understand it now”</t>
        </is>
      </c>
      <c r="H111" s="102" t="n"/>
      <c r="I111" s="102" t="n"/>
      <c r="J111" s="102" t="n"/>
    </row>
    <row r="112">
      <c r="A112" s="61" t="n"/>
      <c r="B112" s="62" t="inlineStr">
        <is>
          <t>Intangible</t>
        </is>
      </c>
      <c r="C112" s="66" t="inlineStr">
        <is>
          <t>Ball Pounder</t>
        </is>
      </c>
      <c r="D112" s="95" t="inlineStr">
        <is>
          <t>All Dribble cards you play draw an additional card but lower SHOT by an additional 10%</t>
        </is>
      </c>
      <c r="E112" s="68" t="n"/>
      <c r="F112" s="140" t="n"/>
      <c r="G112" s="126" t="n"/>
      <c r="H112" s="117" t="n"/>
      <c r="I112" s="117" t="n"/>
      <c r="J112" s="117" t="n"/>
    </row>
    <row r="113">
      <c r="A113" s="61" t="n"/>
      <c r="B113" s="62" t="inlineStr">
        <is>
          <t>Intangible</t>
        </is>
      </c>
      <c r="C113" s="66" t="inlineStr">
        <is>
          <t>Unselfish</t>
        </is>
      </c>
      <c r="D113" s="95" t="inlineStr">
        <is>
          <t>Draw 1 card and increase next SHOT +5% whenever you positively affect another player</t>
        </is>
      </c>
      <c r="E113" s="68" t="n"/>
      <c r="F113" s="140" t="n"/>
      <c r="G113" s="126" t="n"/>
      <c r="H113" s="117" t="n"/>
      <c r="I113" s="117" t="n"/>
      <c r="J113" s="117" t="n"/>
    </row>
    <row r="114">
      <c r="A114" s="61" t="n"/>
      <c r="B114" s="62" t="inlineStr">
        <is>
          <t>Intangible</t>
        </is>
      </c>
      <c r="C114" s="66" t="inlineStr">
        <is>
          <t>Dirty Player</t>
        </is>
      </c>
      <c r="D114" s="95" t="inlineStr">
        <is>
          <t>When sending Clamps, the clamped player discards 1 if they have any Injuries</t>
        </is>
      </c>
      <c r="E114" s="68" t="n"/>
      <c r="F114" s="140" t="n"/>
      <c r="G114" s="126" t="n"/>
      <c r="H114" s="117" t="n"/>
      <c r="I114" s="117" t="n"/>
      <c r="J114" s="117" t="n"/>
    </row>
    <row r="115">
      <c r="A115" s="61" t="n"/>
      <c r="B115" s="62" t="inlineStr">
        <is>
          <t>Intangible</t>
        </is>
      </c>
      <c r="C115" s="66" t="inlineStr">
        <is>
          <t>Villainous Reputation</t>
        </is>
      </c>
      <c r="D115" s="95" t="inlineStr">
        <is>
          <t>Discard 1 whenever any Whistle triggers</t>
        </is>
      </c>
      <c r="E115" s="68" t="n"/>
      <c r="F115" s="140" t="n"/>
      <c r="G115" s="126" t="inlineStr">
        <is>
          <t>Discarded during play, it attaches to a random player — possibly you again</t>
        </is>
      </c>
    </row>
    <row r="116">
      <c r="A116" s="61" t="n"/>
      <c r="B116" s="62" t="inlineStr">
        <is>
          <t>Intangible</t>
        </is>
      </c>
      <c r="C116" s="66" t="inlineStr">
        <is>
          <t>Free Agent</t>
        </is>
      </c>
      <c r="D116" s="95" t="inlineStr">
        <is>
          <t>Discard your hand. Play a card at random from a player of your choosing (they keep it)</t>
        </is>
      </c>
      <c r="E116" s="68" t="n"/>
      <c r="F116" s="140" t="n"/>
      <c r="G116" s="126" t="inlineStr">
        <is>
          <t>The discard waits for the draw chain to finish. Target is shuffled first and is affected by Floor General. Your own draws are kept. All-0 rebounds are yours; otherwise you cannot bid</t>
        </is>
      </c>
    </row>
    <row r="117">
      <c r="A117" s="61" t="n"/>
      <c r="B117" s="62" t="inlineStr">
        <is>
          <t>Intangible</t>
        </is>
      </c>
      <c r="C117" s="66" t="inlineStr">
        <is>
          <t>Franchise Player</t>
        </is>
      </c>
      <c r="D117" s="95" t="inlineStr">
        <is>
          <t>When passing, choose 1 of the new player's Intangibles or a card in their hand for them to discard</t>
        </is>
      </c>
      <c r="E117" s="68" t="n"/>
      <c r="F117" s="140" t="n"/>
      <c r="G117" s="126" t="n"/>
      <c r="H117" s="117" t="n"/>
      <c r="I117" s="117" t="n"/>
      <c r="J117" s="117" t="n"/>
    </row>
  </sheetData>
  <mergeCells count="104">
    <mergeCell ref="G55:J55"/>
    <mergeCell ref="G4:J4"/>
    <mergeCell ref="G109:J109"/>
    <mergeCell ref="G47:J47"/>
    <mergeCell ref="G32:J32"/>
    <mergeCell ref="G46:J46"/>
    <mergeCell ref="G40:J40"/>
    <mergeCell ref="G111:J111"/>
    <mergeCell ref="G72:J72"/>
    <mergeCell ref="G81:J81"/>
    <mergeCell ref="G96:J96"/>
    <mergeCell ref="G5:J5"/>
    <mergeCell ref="G71:J71"/>
    <mergeCell ref="G8:J8"/>
    <mergeCell ref="G57:J57"/>
    <mergeCell ref="G10:J10"/>
    <mergeCell ref="G66:J66"/>
    <mergeCell ref="G18:J18"/>
    <mergeCell ref="G53:J53"/>
    <mergeCell ref="G34:J34"/>
    <mergeCell ref="G74:J74"/>
    <mergeCell ref="G68:J68"/>
    <mergeCell ref="G108:J108"/>
    <mergeCell ref="G58:J58"/>
    <mergeCell ref="G114:J114"/>
    <mergeCell ref="G110:J110"/>
    <mergeCell ref="G20:J20"/>
    <mergeCell ref="G29:J29"/>
    <mergeCell ref="G85:J85"/>
    <mergeCell ref="G91:J91"/>
    <mergeCell ref="G100:J100"/>
    <mergeCell ref="G94:J94"/>
    <mergeCell ref="G75:J75"/>
    <mergeCell ref="G44:J44"/>
    <mergeCell ref="G22:J22"/>
    <mergeCell ref="G84:J84"/>
    <mergeCell ref="G31:J31"/>
    <mergeCell ref="G102:J102"/>
    <mergeCell ref="G12:J12"/>
    <mergeCell ref="G77:J77"/>
    <mergeCell ref="G21:J21"/>
    <mergeCell ref="G86:J86"/>
    <mergeCell ref="G67:J67"/>
    <mergeCell ref="G61:J61"/>
    <mergeCell ref="G70:J70"/>
    <mergeCell ref="G48:J48"/>
    <mergeCell ref="G97:J97"/>
    <mergeCell ref="G7:J7"/>
    <mergeCell ref="G38:J38"/>
    <mergeCell ref="G112:J112"/>
    <mergeCell ref="G45:J45"/>
    <mergeCell ref="G62:J62"/>
    <mergeCell ref="G49:J49"/>
    <mergeCell ref="G33:J33"/>
    <mergeCell ref="G104:J104"/>
    <mergeCell ref="G65:J65"/>
    <mergeCell ref="G88:J88"/>
    <mergeCell ref="G26:J26"/>
    <mergeCell ref="G35:J35"/>
    <mergeCell ref="G16:J16"/>
    <mergeCell ref="G90:J90"/>
    <mergeCell ref="G99:J99"/>
    <mergeCell ref="G60:J60"/>
    <mergeCell ref="G9:J9"/>
    <mergeCell ref="G59:J59"/>
    <mergeCell ref="G11:J11"/>
    <mergeCell ref="G117:J117"/>
    <mergeCell ref="G39:J39"/>
    <mergeCell ref="G101:J101"/>
    <mergeCell ref="G103:J103"/>
    <mergeCell ref="G113:J113"/>
    <mergeCell ref="G37:J37"/>
    <mergeCell ref="A4:B4"/>
    <mergeCell ref="G13:J13"/>
    <mergeCell ref="G87:J87"/>
    <mergeCell ref="G15:J15"/>
    <mergeCell ref="G95:J95"/>
    <mergeCell ref="G89:J89"/>
    <mergeCell ref="G64:J64"/>
    <mergeCell ref="G73:J73"/>
    <mergeCell ref="G51:J51"/>
    <mergeCell ref="G54:J54"/>
    <mergeCell ref="G63:J63"/>
    <mergeCell ref="G41:J41"/>
    <mergeCell ref="G50:J50"/>
    <mergeCell ref="G106:J106"/>
    <mergeCell ref="G56:J56"/>
    <mergeCell ref="G14:J14"/>
    <mergeCell ref="G105:J105"/>
    <mergeCell ref="G43:J43"/>
    <mergeCell ref="G52:J52"/>
    <mergeCell ref="G27:J27"/>
    <mergeCell ref="G98:J98"/>
    <mergeCell ref="G107:J107"/>
    <mergeCell ref="G36:J36"/>
    <mergeCell ref="G42:J42"/>
    <mergeCell ref="G17:J17"/>
    <mergeCell ref="G19:J19"/>
    <mergeCell ref="G28:J28"/>
    <mergeCell ref="G6:J6"/>
    <mergeCell ref="G93:J93"/>
    <mergeCell ref="G69:J69"/>
    <mergeCell ref="G92:J92"/>
    <mergeCell ref="G30:J30"/>
  </mergeCells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2026-09-01T04:43:30Z</dcterms:created>
  <dcterms:modified xsi:type="dcterms:W3CDTF">2026-09-05T06:05:48Z</dcterms:modified>
  <cp:lastModifiedBy>Montre Smith</cp:lastModifiedBy>
</cp:coreProperties>
</file>