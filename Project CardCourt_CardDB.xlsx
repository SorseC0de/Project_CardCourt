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85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37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COUNTIF($B$5:$B$137,"Pass")</f>
        <v/>
      </c>
      <c r="C2" s="13">
        <f>COUNTIF($B$5:$B$137,"Move")+COUNTIF($B$5:$B$137,"Special Move")</f>
        <v/>
      </c>
      <c r="D2" s="14">
        <f>COUNTIF($B$5:$B$137,"Clamp")</f>
        <v/>
      </c>
      <c r="E2" s="15">
        <f>COUNTIF($B$5:$B$137,"Whistle")</f>
        <v/>
      </c>
      <c r="F2" s="16">
        <f>COUNTIF($B$5:$B$137,"Game Break")&amp;" ("&amp;(COUNTIF($B$5:$B$137,"Game Break")+G2+H2)&amp;")"</f>
        <v/>
      </c>
      <c r="G2" s="18">
        <f>COUNTIF($B$5:$B$137,"Injury GB")</f>
        <v/>
      </c>
      <c r="H2" s="19">
        <f>COUNTIF($B$5:$B$137,"Devastating Injury GB")</f>
        <v/>
      </c>
      <c r="I2" s="17">
        <f>COUNTIF($B$5:$B$137,"Intangible")</f>
        <v/>
      </c>
      <c r="J2" s="87">
        <f>SUM(B2:E2)+COUNTIF($B$5:$B$137,"Game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COUNTIF($B$6:$B$137,"Pass")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32" t="n">
        <v>10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player of choice. They must attempt a shot as their first action.</t>
        </is>
      </c>
      <c r="E8" s="26" t="n"/>
      <c r="F8" s="33" t="n">
        <v>6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34" t="n">
        <v>6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+5%</t>
        </is>
      </c>
      <c r="E10" s="26" t="n"/>
      <c r="F10" s="33" t="n">
        <v>21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+5%</t>
        </is>
      </c>
      <c r="E11" s="7" t="n"/>
      <c r="F11" s="34" t="n">
        <v>31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+5%</t>
        </is>
      </c>
      <c r="E12" s="26" t="n"/>
      <c r="F12" s="33" t="n">
        <v>31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+5%</t>
        </is>
      </c>
      <c r="E13" s="7" t="n"/>
      <c r="F13" s="34" t="n">
        <v>15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+5%</t>
        </is>
      </c>
      <c r="E14" s="25" t="inlineStr">
        <is>
          <t>New players discards 1 card at random</t>
        </is>
      </c>
      <c r="F14" s="36" t="n">
        <v>12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+20%.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+5%. Pass to player to Left or Right. Draw 1 card</t>
        </is>
      </c>
      <c r="E16" s="25" t="inlineStr">
        <is>
          <t>If played following a Dribble: draw 1 additional and SHOT +5% more</t>
        </is>
      </c>
      <c r="F16" s="36" t="n">
        <v>10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Shot Clock +01. Pass to player of choice</t>
        </is>
      </c>
      <c r="E17" s="25" t="n"/>
      <c r="F17" s="36" t="n">
        <v>3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Upgraded to 3pt. Pass to player of choice</t>
        </is>
      </c>
      <c r="E18" s="25" t="inlineStr">
        <is>
          <t>Following Drive: draw 1. Following a Dribble Drive: gain 1 AST also</t>
        </is>
      </c>
      <c r="F18" s="36" t="n">
        <v>3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+5%. Pass to player of choice. They immediately pass it back</t>
        </is>
      </c>
      <c r="E19" s="25" t="n"/>
      <c r="F19" s="36" t="n">
        <v>7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+5%.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COUNTIF($B$22:$B$137,"Move")+COUNTIF($B$22:$B$137,"Special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32" t="n">
        <v>7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+10%</t>
        </is>
      </c>
      <c r="E24" s="26" t="n"/>
      <c r="F24" s="33" t="n">
        <v>10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</t>
        </is>
      </c>
      <c r="D26" s="25" t="inlineStr">
        <is>
          <t>SHOT +10%</t>
        </is>
      </c>
      <c r="E26" s="25" t="inlineStr">
        <is>
          <t>Shot Clock -1</t>
        </is>
      </c>
      <c r="F26" s="36" t="n">
        <v>15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32" t="n">
        <v>12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+10%.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+10%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+10% for each</t>
        </is>
      </c>
      <c r="E30" s="26" t="n"/>
      <c r="F30" s="33" t="n">
        <v>10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32" t="n">
        <v>12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+5%)
SHOT +10%</t>
        </is>
      </c>
      <c r="E33" s="25" t="inlineStr">
        <is>
          <t>Cannot use further Move cards</t>
        </is>
      </c>
      <c r="F33" s="36" t="n">
        <v>15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8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COUNTIF($B$36:$B$137,"Special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4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4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4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10%</t>
        </is>
      </c>
      <c r="E42" s="25" t="inlineStr">
        <is>
          <t>Shoot the ball. +1 Point on make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32" t="n">
        <v>3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+10%</t>
        </is>
      </c>
      <c r="E44" s="41" t="inlineStr">
        <is>
          <t>Shoot the ball. Shot is unaffected by Clamps</t>
        </is>
      </c>
      <c r="F44" s="36" t="n">
        <v>4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32" t="n">
        <v>4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2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A49" s="52" t="inlineStr">
        <is>
          <t>Clamp</t>
        </is>
      </c>
      <c r="B49" s="53">
        <f>COUNTIF($B$50:$B$137,"Clamp")</f>
        <v/>
      </c>
      <c r="C49" s="54" t="n"/>
      <c r="D49" s="54" t="n"/>
      <c r="E49" s="54" t="n"/>
      <c r="F49" s="55" t="n"/>
      <c r="G49" s="66" t="n"/>
      <c r="H49" s="67" t="n"/>
      <c r="I49" s="67" t="n"/>
      <c r="J49" s="67" t="n"/>
    </row>
    <row r="50" ht="56" customHeight="1" s="85">
      <c r="A50" s="21" t="n"/>
      <c r="B50" s="22" t="inlineStr">
        <is>
          <t>Clamp</t>
        </is>
      </c>
      <c r="C50" s="23" t="inlineStr">
        <is>
          <t>Contest</t>
        </is>
      </c>
      <c r="D50" s="6" t="inlineStr">
        <is>
          <t>Next player SHOT -25% if they shoot</t>
        </is>
      </c>
      <c r="E50" s="7" t="n"/>
      <c r="F50" s="34" t="n">
        <v>10</v>
      </c>
      <c r="G50" s="80" t="inlineStr">
        <is>
          <t>1 def</t>
        </is>
      </c>
      <c r="H50" s="71" t="n"/>
      <c r="I50" s="71" t="n"/>
      <c r="J50" s="71" t="n"/>
    </row>
    <row r="51" ht="47" customHeight="1" s="85">
      <c r="A51" s="21" t="n"/>
      <c r="B51" s="22" t="inlineStr">
        <is>
          <t>Clamp</t>
        </is>
      </c>
      <c r="C51" s="24" t="inlineStr">
        <is>
          <t>Double-Team</t>
        </is>
      </c>
      <c r="D51" s="25" t="inlineStr">
        <is>
          <t>Next Player cannot play 2 random cards from hand.</t>
        </is>
      </c>
      <c r="E51" s="26" t="n"/>
      <c r="F51" s="33" t="n">
        <v>4</v>
      </c>
      <c r="G51" s="77" t="inlineStr">
        <is>
          <t>2 def</t>
        </is>
      </c>
      <c r="H51" s="71" t="n"/>
      <c r="I51" s="71" t="n"/>
      <c r="J51" s="71" t="n"/>
    </row>
    <row r="52" ht="54" customHeight="1" s="85">
      <c r="A52" s="21" t="n"/>
      <c r="B52" s="22" t="inlineStr">
        <is>
          <t>Clamp</t>
        </is>
      </c>
      <c r="C52" s="23" t="inlineStr">
        <is>
          <t>Full-Court Press</t>
        </is>
      </c>
      <c r="D52" s="6" t="inlineStr">
        <is>
          <t>Next player discards 2 cards at the start of their turn</t>
        </is>
      </c>
      <c r="E52" s="7" t="n"/>
      <c r="F52" s="34" t="n">
        <v>3</v>
      </c>
      <c r="G52" s="80" t="inlineStr">
        <is>
          <t>1 def</t>
        </is>
      </c>
      <c r="H52" s="71" t="n"/>
      <c r="I52" s="71" t="n"/>
      <c r="J52" s="71" t="n"/>
    </row>
    <row r="53" ht="28" customHeight="1" s="85">
      <c r="A53" s="21" t="n"/>
      <c r="B53" s="22" t="inlineStr">
        <is>
          <t>Clamp</t>
        </is>
      </c>
      <c r="C53" s="24" t="inlineStr">
        <is>
          <t>Trap</t>
        </is>
      </c>
      <c r="D53" s="41" t="inlineStr">
        <is>
          <t>Next player can only play Pass cards during their turn</t>
        </is>
      </c>
      <c r="E53" s="26" t="n"/>
      <c r="F53" s="33" t="n">
        <v>5</v>
      </c>
      <c r="G53" s="77" t="inlineStr">
        <is>
          <t>They can still shoot as another option; 3 def</t>
        </is>
      </c>
      <c r="H53" s="71" t="n"/>
      <c r="I53" s="71" t="n"/>
      <c r="J53" s="71" t="n"/>
    </row>
    <row r="54" ht="28" customHeight="1" s="85">
      <c r="A54" s="27" t="n"/>
      <c r="B54" s="28" t="inlineStr">
        <is>
          <t>Clamp</t>
        </is>
      </c>
      <c r="C54" s="56" t="inlineStr">
        <is>
          <t>Triple-Team</t>
        </is>
      </c>
      <c r="D54" s="57" t="inlineStr">
        <is>
          <t>Next player cannot play 3 random cards from hand.</t>
        </is>
      </c>
      <c r="E54" s="58" t="n"/>
      <c r="F54" s="59" t="n">
        <v>2</v>
      </c>
      <c r="G54" s="83" t="inlineStr">
        <is>
          <t>3 def</t>
        </is>
      </c>
      <c r="H54" s="76" t="n"/>
      <c r="I54" s="76" t="n"/>
      <c r="J54" s="76" t="n"/>
    </row>
    <row r="55" ht="28" customHeight="1" s="85">
      <c r="A55" s="52" t="inlineStr">
        <is>
          <t>Whistle</t>
        </is>
      </c>
      <c r="B55" s="53">
        <f>COUNTIF($B$56:$B$137,"Whistle")</f>
        <v/>
      </c>
      <c r="C55" s="54" t="n"/>
      <c r="D55" s="54" t="n"/>
      <c r="E55" s="54" t="n"/>
      <c r="F55" s="55" t="n"/>
      <c r="G55" s="66" t="n"/>
      <c r="H55" s="67" t="n"/>
      <c r="I55" s="67" t="n"/>
      <c r="J55" s="67" t="n"/>
    </row>
    <row r="56" ht="42" customHeight="1" s="85">
      <c r="A56" s="21" t="inlineStr">
        <is>
          <t>All whistles are limited to 1</t>
        </is>
      </c>
      <c r="B56" s="22" t="inlineStr">
        <is>
          <t>Whistle</t>
        </is>
      </c>
      <c r="C56" s="23" t="inlineStr">
        <is>
          <t>Back Court Violation</t>
        </is>
      </c>
      <c r="D56" s="6" t="inlineStr">
        <is>
          <t>Pass Card Played: Cancel that card. That player TOV +1. Move ball to player of choice</t>
        </is>
      </c>
      <c r="E56" s="7" t="n"/>
      <c r="F56" s="50" t="n"/>
      <c r="G56" s="70" t="inlineStr">
        <is>
          <t>The player who played this whistle chooses, excluding the player who played the pass but including themselves.</t>
        </is>
      </c>
      <c r="H56" s="71" t="n"/>
      <c r="I56" s="71" t="n"/>
      <c r="J56" s="71" t="n"/>
    </row>
    <row r="57" ht="40" customHeight="1" s="85">
      <c r="A57" s="21" t="n"/>
      <c r="B57" s="22" t="inlineStr">
        <is>
          <t>Whistle</t>
        </is>
      </c>
      <c r="C57" s="37" t="inlineStr">
        <is>
          <t>Blocking Foul</t>
        </is>
      </c>
      <c r="D57" s="40" t="inlineStr">
        <is>
          <t>Clamp Card Played: Cancel card. Clamped player +1 FT</t>
        </is>
      </c>
      <c r="E57" s="26" t="n"/>
      <c r="F57" s="50" t="n"/>
      <c r="G57" s="72" t="n"/>
      <c r="H57" s="71" t="n"/>
      <c r="I57" s="71" t="n"/>
      <c r="J57" s="71" t="n"/>
    </row>
    <row r="58" ht="30" customHeight="1" s="85">
      <c r="A58" s="21" t="n"/>
      <c r="B58" s="22" t="inlineStr">
        <is>
          <t>Whistle</t>
        </is>
      </c>
      <c r="C58" s="23" t="inlineStr">
        <is>
          <t>Charge</t>
        </is>
      </c>
      <c r="D58" s="39" t="inlineStr">
        <is>
          <t>Shot Attempt: Cancel. Shooter Inbounds</t>
        </is>
      </c>
      <c r="E58" s="7" t="n"/>
      <c r="F58" s="50" t="n"/>
      <c r="G58" s="70" t="n"/>
      <c r="H58" s="71" t="n"/>
      <c r="I58" s="71" t="n"/>
      <c r="J58" s="71" t="n"/>
    </row>
    <row r="59" ht="56" customHeight="1" s="85">
      <c r="A59" s="21" t="n"/>
      <c r="B59" s="22" t="inlineStr">
        <is>
          <t>Whistle</t>
        </is>
      </c>
      <c r="C59" s="24" t="inlineStr">
        <is>
          <t>Cleared to Play</t>
        </is>
      </c>
      <c r="D59" s="25" t="inlineStr">
        <is>
          <t>Injury Card Played: Cancel card.</t>
        </is>
      </c>
      <c r="E59" s="26" t="n"/>
      <c r="F59" s="50" t="n"/>
      <c r="G59" s="72" t="n"/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23" t="inlineStr">
        <is>
          <t>Coach’s Challenge</t>
        </is>
      </c>
      <c r="D60" s="6" t="inlineStr">
        <is>
          <t>Any Whistle Card Played: Cancel card.</t>
        </is>
      </c>
      <c r="E60" s="7" t="inlineStr">
        <is>
          <t>Pull a Timeout from the discards, if one is there, and take it</t>
        </is>
      </c>
      <c r="F60" s="50" t="n"/>
      <c r="G60" s="70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37" t="inlineStr">
        <is>
          <t>Delay-of-Game Warning</t>
        </is>
      </c>
      <c r="D61" s="41" t="inlineStr">
        <is>
          <t>Lower Shot Clock with a card: Cancel that card's effects</t>
        </is>
      </c>
      <c r="E61" s="25" t="inlineStr">
        <is>
          <t>If 2nd time activated this round: Whistle player takes 1 FT in addition</t>
        </is>
      </c>
      <c r="F61" s="51" t="n"/>
      <c r="G61" s="73" t="inlineStr">
        <is>
          <t>The Shot Clock reduction still applies. Game Breaks do not count — those are game events, not cards the player activates.</t>
        </is>
      </c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3" t="inlineStr">
        <is>
          <t>Double Dribble</t>
        </is>
      </c>
      <c r="D62" s="6" t="inlineStr">
        <is>
          <t>Dribble Move Card Played (Dribble, Rhythm Dribble, etc.): Cancel card. Discard 1 card. TOV +1</t>
        </is>
      </c>
      <c r="E62" s="7" t="n"/>
      <c r="F62" s="50" t="n"/>
      <c r="G62" s="70" t="inlineStr">
        <is>
          <t>The dribbling player inbounds. The round is NOT incremented.</t>
        </is>
      </c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37" t="inlineStr">
        <is>
          <t>Flagrant Foul</t>
        </is>
      </c>
      <c r="D63" s="41" t="inlineStr">
        <is>
          <t>Clamp Card Played: Cancel card. Clamper discard 1. Clamped player +1 FT then gets ball</t>
        </is>
      </c>
      <c r="E63" s="26" t="n"/>
      <c r="F63" s="50" t="n"/>
      <c r="G63" s="72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Flagrant Foul II</t>
        </is>
      </c>
      <c r="D64" s="38" t="inlineStr">
        <is>
          <t>Clamp Card Played: Cancel card. Clamper discards Bag. Clamped player +1 FT then gets ball</t>
        </is>
      </c>
      <c r="E64" s="7" t="n"/>
      <c r="F64" s="50" t="n"/>
      <c r="G64" s="70" t="n"/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4" t="inlineStr">
        <is>
          <t>Goaltending</t>
        </is>
      </c>
      <c r="D65" s="25" t="inlineStr">
        <is>
          <t>Clamp Card Played: Cancel card. Clamped player +2 points. End round.</t>
        </is>
      </c>
      <c r="E65" s="26" t="n"/>
      <c r="F65" s="50" t="n"/>
      <c r="G65" s="72" t="n"/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23" t="inlineStr">
        <is>
          <t>Inadvertent Whistle</t>
        </is>
      </c>
      <c r="D66" s="38" t="inlineStr">
        <is>
          <t>Any other whistle triggers: Cancel that card. Turn player draws 1 card.</t>
        </is>
      </c>
      <c r="E66" s="7" t="n"/>
      <c r="F66" s="50" t="n"/>
      <c r="G66" s="70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24" t="inlineStr">
        <is>
          <t>Official Review</t>
        </is>
      </c>
      <c r="D67" s="41" t="inlineStr">
        <is>
          <t>Intangible Played: Discard all Intangibles from player.</t>
        </is>
      </c>
      <c r="E67" s="26" t="n"/>
      <c r="F67" s="50" t="n"/>
      <c r="G67" s="72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3" t="inlineStr">
        <is>
          <t>Shot Clock Violation</t>
        </is>
      </c>
      <c r="D68" s="38" t="inlineStr">
        <is>
          <t>Shot Clock is changed: TOV +1. Ball OOB</t>
        </is>
      </c>
      <c r="E68" s="7" t="n"/>
      <c r="F68" s="50" t="n"/>
      <c r="G68" s="70" t="inlineStr">
        <is>
          <t>This inbound does NOT increment the round.</t>
        </is>
      </c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4" t="inlineStr">
        <is>
          <t>Technical Foul</t>
        </is>
      </c>
      <c r="D69" s="41" t="inlineStr">
        <is>
          <t>Any Non-Whistle Card Played: Cancel card. Take 1 FT</t>
        </is>
      </c>
      <c r="E69" s="26" t="n"/>
      <c r="F69" s="50" t="n"/>
      <c r="G69" s="72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3" t="inlineStr">
        <is>
          <t>Timeout</t>
        </is>
      </c>
      <c r="D70" s="38" t="inlineStr">
        <is>
          <t>Immediate: Reset Shot Clock. You inbound. All players draw 1 card</t>
        </is>
      </c>
      <c r="E70" s="7" t="n"/>
      <c r="F70" s="50" t="n"/>
      <c r="G70" s="70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4" t="inlineStr">
        <is>
          <t>Travel</t>
        </is>
      </c>
      <c r="D71" s="25" t="inlineStr">
        <is>
          <t>Move card played: Cancel card. TOV +1</t>
        </is>
      </c>
      <c r="E71" s="26" t="n"/>
      <c r="F71" s="50" t="n"/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Clear Path Foul</t>
        </is>
      </c>
      <c r="D72" s="25" t="inlineStr">
        <is>
          <t>On Shot, when Clamped by SHOT-reducing Clamps: Cancel those Clamps. Award the points the shot was worth. Take 1 FT</t>
        </is>
      </c>
      <c r="E72" s="26" t="n"/>
      <c r="F72" s="50" t="n"/>
      <c r="G72" s="72" t="inlineStr">
        <is>
          <t>Fires as the shot starts, before the cutscene. This DOES count as a completed round.</t>
        </is>
      </c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4" t="inlineStr">
        <is>
          <t>Play-On</t>
        </is>
      </c>
      <c r="D73" s="25" t="inlineStr">
        <is>
          <t>Discard each Game Break drawn and draw again, until a card is not one</t>
        </is>
      </c>
      <c r="E73" s="26" t="n"/>
      <c r="F73" s="50" t="n"/>
      <c r="G73" s="72" t="inlineStr">
        <is>
          <t>Raised where the Break lands, like Cleared to Play — nobody plays a Break</t>
        </is>
      </c>
      <c r="H73" s="71" t="n"/>
      <c r="I73" s="71" t="n"/>
      <c r="J73" s="71" t="n"/>
    </row>
    <row r="74" ht="28" customHeight="1" s="85">
      <c r="A74" s="27" t="n"/>
      <c r="B74" s="28" t="inlineStr">
        <is>
          <t>Whistle</t>
        </is>
      </c>
      <c r="C74" s="29" t="inlineStr">
        <is>
          <t>Crew Chief Review</t>
        </is>
      </c>
      <c r="D74" s="30" t="inlineStr">
        <is>
          <t>Cancel a pass. The ball comes to you</t>
        </is>
      </c>
      <c r="E74" s="60" t="n"/>
      <c r="F74" s="61" t="n"/>
      <c r="G74" s="78" t="n"/>
      <c r="H74" s="76" t="n"/>
      <c r="I74" s="76" t="n"/>
      <c r="J74" s="76" t="n"/>
    </row>
    <row r="75" ht="28" customHeight="1" s="85">
      <c r="A75" s="52" t="inlineStr">
        <is>
          <t>Game Break</t>
        </is>
      </c>
      <c r="B75" s="53">
        <f>COUNTIF($B$76:$B$137,"Game Break")</f>
        <v/>
      </c>
      <c r="C75" s="54" t="n"/>
      <c r="D75" s="54" t="n"/>
      <c r="E75" s="54" t="n"/>
      <c r="F75" s="55" t="n"/>
      <c r="G75" s="66" t="n"/>
      <c r="H75" s="67" t="n"/>
      <c r="I75" s="67" t="n"/>
      <c r="J75" s="67" t="n"/>
    </row>
    <row r="76" ht="28" customHeight="1" s="85">
      <c r="A76" s="21" t="n"/>
      <c r="B76" s="22" t="inlineStr">
        <is>
          <t>Game Break</t>
        </is>
      </c>
      <c r="C76" s="24" t="inlineStr">
        <is>
          <t>2-Minute Warning</t>
        </is>
      </c>
      <c r="D76" s="25" t="inlineStr">
        <is>
          <t>All players discard down to 2 or fewer cards</t>
        </is>
      </c>
      <c r="E76" s="26" t="n"/>
      <c r="F76" s="33" t="n">
        <v>3</v>
      </c>
      <c r="G76" s="72" t="n"/>
      <c r="H76" s="71" t="n"/>
      <c r="I76" s="71" t="n"/>
      <c r="J76" s="71" t="n"/>
    </row>
    <row r="77" ht="42" customHeight="1" s="85">
      <c r="A77" s="21" t="n"/>
      <c r="B77" s="22" t="inlineStr">
        <is>
          <t>Game Break</t>
        </is>
      </c>
      <c r="C77" s="23" t="inlineStr">
        <is>
          <t>Benched</t>
        </is>
      </c>
      <c r="D77" s="6" t="inlineStr">
        <is>
          <t>Immediately give ball to any other player.</t>
        </is>
      </c>
      <c r="E77" s="7" t="n"/>
      <c r="F77" s="34" t="n">
        <v>3</v>
      </c>
      <c r="G77" s="74" t="inlineStr">
        <is>
          <t>This is not a pass</t>
        </is>
      </c>
      <c r="H77" s="71" t="n"/>
      <c r="I77" s="71" t="n"/>
      <c r="J77" s="71" t="n"/>
    </row>
    <row r="78" ht="28" customHeight="1" s="85">
      <c r="A78" s="21" t="n"/>
      <c r="B78" s="22" t="inlineStr">
        <is>
          <t>Game Break</t>
        </is>
      </c>
      <c r="C78" s="24" t="inlineStr">
        <is>
          <t>Crowd Noise</t>
        </is>
      </c>
      <c r="D78" s="25" t="inlineStr">
        <is>
          <t>Discard 1 card.</t>
        </is>
      </c>
      <c r="E78" s="26" t="n"/>
      <c r="F78" s="33" t="n">
        <v>3</v>
      </c>
      <c r="G78" s="72" t="n"/>
      <c r="H78" s="71" t="n"/>
      <c r="I78" s="71" t="n"/>
      <c r="J78" s="71" t="n"/>
    </row>
    <row r="79" ht="28" customHeight="1" s="85">
      <c r="A79" s="21" t="n"/>
      <c r="B79" s="22" t="inlineStr">
        <is>
          <t>Game Break</t>
        </is>
      </c>
      <c r="C79" s="23" t="inlineStr">
        <is>
          <t>Designed Play</t>
        </is>
      </c>
      <c r="D79" s="6" t="inlineStr">
        <is>
          <t>Draw up to a hand of 5</t>
        </is>
      </c>
      <c r="E79" s="7" t="n"/>
      <c r="F79" s="34" t="n">
        <v>3</v>
      </c>
      <c r="G79" s="70" t="n"/>
      <c r="H79" s="71" t="n"/>
      <c r="I79" s="71" t="n"/>
      <c r="J79" s="71" t="n"/>
    </row>
    <row r="80" ht="20" customHeight="1" s="85">
      <c r="A80" s="21" t="n"/>
      <c r="B80" s="22" t="inlineStr">
        <is>
          <t>Game Break</t>
        </is>
      </c>
      <c r="C80" s="37" t="inlineStr">
        <is>
          <t>Foul</t>
        </is>
      </c>
      <c r="D80" s="25" t="inlineStr">
        <is>
          <t>Take 1 FT</t>
        </is>
      </c>
      <c r="E80" s="26" t="n"/>
      <c r="F80" s="33" t="n">
        <v>3</v>
      </c>
      <c r="G80" s="72" t="n"/>
      <c r="H80" s="71" t="n"/>
      <c r="I80" s="71" t="n"/>
      <c r="J80" s="71" t="n"/>
    </row>
    <row r="81" ht="28" customHeight="1" s="85">
      <c r="A81" s="21" t="n"/>
      <c r="B81" s="22" t="inlineStr">
        <is>
          <t>Game Break</t>
        </is>
      </c>
      <c r="C81" s="23" t="inlineStr">
        <is>
          <t>MVP Vote</t>
        </is>
      </c>
      <c r="D81" s="6" t="inlineStr">
        <is>
          <t>Draw 3 cards up to a hand of 7</t>
        </is>
      </c>
      <c r="E81" s="7" t="n"/>
      <c r="F81" s="34" t="n">
        <v>1</v>
      </c>
      <c r="G81" s="70" t="n"/>
      <c r="H81" s="71" t="n"/>
      <c r="I81" s="71" t="n"/>
      <c r="J81" s="71" t="n"/>
    </row>
    <row r="82" ht="20" customHeight="1" s="85">
      <c r="A82" s="21" t="n"/>
      <c r="B82" s="22" t="inlineStr">
        <is>
          <t>Game Break</t>
        </is>
      </c>
      <c r="C82" s="24" t="inlineStr">
        <is>
          <t>Off Night</t>
        </is>
      </c>
      <c r="D82" s="25" t="inlineStr">
        <is>
          <t>SHOT -20% this possession</t>
        </is>
      </c>
      <c r="E82" s="26" t="n"/>
      <c r="F82" s="33" t="n">
        <v>3</v>
      </c>
      <c r="G82" s="72" t="n"/>
      <c r="H82" s="71" t="n"/>
      <c r="I82" s="71" t="n"/>
      <c r="J82" s="71" t="n"/>
    </row>
    <row r="83" ht="42" customHeight="1" s="85">
      <c r="A83" s="21" t="n"/>
      <c r="B83" s="22" t="inlineStr">
        <is>
          <t>Game Break</t>
        </is>
      </c>
      <c r="C83" s="23" t="inlineStr">
        <is>
          <t>Swallowed Whistle</t>
        </is>
      </c>
      <c r="D83" s="6" t="inlineStr">
        <is>
          <t>Whistle cards cannot activate this turn.</t>
        </is>
      </c>
      <c r="E83" s="6" t="inlineStr">
        <is>
          <t>Remains for remainder of round</t>
        </is>
      </c>
      <c r="F83" s="32" t="n">
        <v>3</v>
      </c>
      <c r="G83" s="70" t="n"/>
      <c r="H83" s="71" t="n"/>
      <c r="I83" s="71" t="n"/>
      <c r="J83" s="71" t="n"/>
    </row>
    <row r="84" ht="28" customHeight="1" s="85">
      <c r="A84" s="21" t="n"/>
      <c r="B84" s="22" t="inlineStr">
        <is>
          <t>Game Break</t>
        </is>
      </c>
      <c r="C84" s="24" t="inlineStr">
        <is>
          <t>Rock Fight</t>
        </is>
      </c>
      <c r="D84" s="25" t="inlineStr">
        <is>
          <t>Players cannot shoot when SHOT is 50% or higher</t>
        </is>
      </c>
      <c r="E84" s="25" t="inlineStr">
        <is>
          <t>Remains for remainder of round</t>
        </is>
      </c>
      <c r="F84" s="36" t="n">
        <v>3</v>
      </c>
      <c r="G84" s="72" t="n"/>
      <c r="H84" s="71" t="n"/>
      <c r="I84" s="71" t="n"/>
      <c r="J84" s="71" t="n"/>
    </row>
    <row r="85" ht="56" customHeight="1" s="85">
      <c r="A85" s="21" t="n"/>
      <c r="B85" s="22" t="inlineStr">
        <is>
          <t>Game Break</t>
        </is>
      </c>
      <c r="C85" s="23" t="inlineStr">
        <is>
          <t>Traded Mid-Game</t>
        </is>
      </c>
      <c r="D85" s="6" t="inlineStr">
        <is>
          <t>Swap hands with a random other player</t>
        </is>
      </c>
      <c r="E85" s="7" t="n"/>
      <c r="F85" s="34" t="n">
        <v>1</v>
      </c>
      <c r="G85" s="74" t="n"/>
      <c r="H85" s="71" t="n"/>
      <c r="I85" s="71" t="n"/>
      <c r="J85" s="71" t="n"/>
    </row>
    <row r="86" ht="42" customHeight="1" s="85">
      <c r="A86" s="21" t="n"/>
      <c r="B86" s="22" t="inlineStr">
        <is>
          <t>Game Break</t>
        </is>
      </c>
      <c r="C86" s="49" t="inlineStr">
        <is>
          <t>Salary Cap Increase</t>
        </is>
      </c>
      <c r="D86" s="38" t="inlineStr">
        <is>
          <t>All players draw 2 cards</t>
        </is>
      </c>
      <c r="E86" s="7" t="n"/>
      <c r="F86" s="34" t="n">
        <v>3</v>
      </c>
      <c r="G86" s="74" t="n"/>
      <c r="H86" s="71" t="n"/>
      <c r="I86" s="71" t="n"/>
      <c r="J86" s="71" t="n"/>
    </row>
    <row r="87" ht="42" customHeight="1" s="85">
      <c r="A87" s="21" t="n"/>
      <c r="B87" s="22" t="inlineStr">
        <is>
          <t>Game Break</t>
        </is>
      </c>
      <c r="C87" s="49" t="inlineStr">
        <is>
          <t>All-Swissh Selection</t>
        </is>
      </c>
      <c r="D87" s="38" t="inlineStr">
        <is>
          <t>Draw 3 cards after your next make</t>
        </is>
      </c>
      <c r="E87" s="7" t="n"/>
      <c r="F87" s="34" t="n">
        <v>3</v>
      </c>
      <c r="G87" s="74" t="inlineStr">
        <is>
          <t>Arms an icon in the HUD tracking the pending draws</t>
        </is>
      </c>
      <c r="H87" s="71" t="n"/>
      <c r="I87" s="71" t="n"/>
      <c r="J87" s="71" t="n"/>
    </row>
    <row r="88" ht="28" customHeight="1" s="85">
      <c r="A88" s="21" t="n"/>
      <c r="B88" s="22" t="inlineStr">
        <is>
          <t>Game Break</t>
        </is>
      </c>
      <c r="C88" s="49" t="inlineStr">
        <is>
          <t>All Star Selection</t>
        </is>
      </c>
      <c r="D88" s="38" t="inlineStr">
        <is>
          <t>Draw 2 cards</t>
        </is>
      </c>
      <c r="E88" s="7" t="n"/>
      <c r="F88" s="34" t="n">
        <v>3</v>
      </c>
      <c r="G88" s="74" t="n"/>
      <c r="H88" s="71" t="n"/>
      <c r="I88" s="71" t="n"/>
      <c r="J88" s="71" t="n"/>
    </row>
    <row r="89" ht="28" customHeight="1" s="85">
      <c r="A89" s="21" t="n"/>
      <c r="B89" s="22" t="inlineStr">
        <is>
          <t>Game Break</t>
        </is>
      </c>
      <c r="C89" s="49" t="inlineStr">
        <is>
          <t>Hit the Bike</t>
        </is>
      </c>
      <c r="D89" s="38" t="inlineStr">
        <is>
          <t>Discard all Injuries. Draw 1 card. Give possession to another player</t>
        </is>
      </c>
      <c r="E89" s="7" t="n"/>
      <c r="F89" s="34" t="n">
        <v>3</v>
      </c>
      <c r="G89" s="74" t="inlineStr">
        <is>
          <t>This is not a pass</t>
        </is>
      </c>
      <c r="H89" s="71" t="n"/>
      <c r="I89" s="71" t="n"/>
      <c r="J89" s="71" t="n"/>
    </row>
    <row r="90" ht="56" customHeight="1" s="85">
      <c r="A90" s="21" t="n"/>
      <c r="B90" s="22" t="inlineStr">
        <is>
          <t>Game Break</t>
        </is>
      </c>
      <c r="C90" s="49" t="inlineStr">
        <is>
          <t>Ice Wrap</t>
        </is>
      </c>
      <c r="D90" s="38" t="inlineStr">
        <is>
          <t>Draw 1 card. Discard all Injuries. If none, draw 1 additional card</t>
        </is>
      </c>
      <c r="E90" s="7" t="n"/>
      <c r="F90" s="34" t="n">
        <v>3</v>
      </c>
      <c r="G90" s="74" t="n"/>
      <c r="H90" s="71" t="n"/>
      <c r="I90" s="71" t="n"/>
      <c r="J90" s="71" t="n"/>
    </row>
    <row r="91" ht="56" customHeight="1" s="85">
      <c r="A91" s="21" t="n"/>
      <c r="B91" s="22" t="inlineStr">
        <is>
          <t>Game Break</t>
        </is>
      </c>
      <c r="C91" s="49" t="inlineStr">
        <is>
          <t>Wet Spot</t>
        </is>
      </c>
      <c r="D91" s="38" t="inlineStr">
        <is>
          <t>All Injuries in the discards and deck are displayed. Take one</t>
        </is>
      </c>
      <c r="E91" s="7" t="n"/>
      <c r="F91" s="34" t="n">
        <v>3</v>
      </c>
      <c r="G91" s="74" t="inlineStr">
        <is>
          <t>Deck ones are shown face down</t>
        </is>
      </c>
      <c r="H91" s="71" t="n"/>
      <c r="I91" s="71" t="n"/>
      <c r="J91" s="71" t="n"/>
    </row>
    <row r="92" ht="28" customHeight="1" s="85">
      <c r="A92" s="21" t="n"/>
      <c r="B92" s="22" t="inlineStr">
        <is>
          <t>Game Break</t>
        </is>
      </c>
      <c r="C92" s="49" t="inlineStr">
        <is>
          <t>Fresh Ball</t>
        </is>
      </c>
      <c r="D92" s="38" t="inlineStr">
        <is>
          <t>Next player does not draw at the start of their possession</t>
        </is>
      </c>
      <c r="E92" s="7" t="n"/>
      <c r="F92" s="34" t="n">
        <v>3</v>
      </c>
      <c r="G92" s="74" t="inlineStr">
        <is>
          <t>This is a bad thing in the NBA</t>
        </is>
      </c>
      <c r="H92" s="71" t="n"/>
      <c r="I92" s="71" t="n"/>
      <c r="J92" s="71" t="n"/>
    </row>
    <row r="93" ht="42" customHeight="1" s="85">
      <c r="A93" s="21" t="n"/>
      <c r="B93" s="22" t="inlineStr">
        <is>
          <t>Game Break</t>
        </is>
      </c>
      <c r="C93" s="49" t="inlineStr">
        <is>
          <t>Trade Deadline</t>
        </is>
      </c>
      <c r="D93" s="38" t="inlineStr">
        <is>
          <t>Declare Left or Right: every player passes their hand that way. The ball goes with it</t>
        </is>
      </c>
      <c r="E93" s="7" t="n"/>
      <c r="F93" s="34" t="n">
        <v>3</v>
      </c>
      <c r="G93" s="74" t="inlineStr">
        <is>
          <t>The hex travels in the declared direction too</t>
        </is>
      </c>
      <c r="H93" s="71" t="n"/>
      <c r="I93" s="71" t="n"/>
      <c r="J93" s="71" t="n"/>
    </row>
    <row r="94" ht="28" customHeight="1" s="85">
      <c r="A94" s="21" t="n"/>
      <c r="B94" s="22" t="inlineStr">
        <is>
          <t>Game Break</t>
        </is>
      </c>
      <c r="C94" s="49" t="inlineStr">
        <is>
          <t>Floor Cleanup</t>
        </is>
      </c>
      <c r="D94" s="38" t="inlineStr">
        <is>
          <t>All players shuffle their hands into the deck and draw the same number of cards</t>
        </is>
      </c>
      <c r="E94" s="7" t="n"/>
      <c r="F94" s="34" t="n">
        <v>3</v>
      </c>
      <c r="G94" s="74" t="n"/>
      <c r="H94" s="71" t="n"/>
      <c r="I94" s="71" t="n"/>
      <c r="J94" s="71" t="n"/>
    </row>
    <row r="95" ht="42" customHeight="1" s="85">
      <c r="A95" s="21" t="n"/>
      <c r="B95" s="22" t="inlineStr">
        <is>
          <t>Game Break</t>
        </is>
      </c>
      <c r="C95" s="49" t="inlineStr">
        <is>
          <t>Official Timeout</t>
        </is>
      </c>
      <c r="D95" s="38" t="inlineStr">
        <is>
          <t>At least 1 referee must be armed: discard all Injuries on all players and clear all referees. If none, all players draw 1 card</t>
        </is>
      </c>
      <c r="E95" s="7" t="n"/>
      <c r="F95" s="34" t="n">
        <v>3</v>
      </c>
      <c r="G95" s="74" t="n"/>
      <c r="H95" s="71" t="n"/>
      <c r="I95" s="71" t="n"/>
      <c r="J95" s="71" t="n"/>
    </row>
    <row r="96" ht="14" customHeight="1" s="85">
      <c r="A96" s="21" t="n"/>
      <c r="B96" s="22" t="inlineStr">
        <is>
          <t>Game Break</t>
        </is>
      </c>
      <c r="C96" s="49" t="inlineStr">
        <is>
          <t>Team Doctor</t>
        </is>
      </c>
      <c r="D96" s="38" t="inlineStr">
        <is>
          <t>Discard 1 Injury from a player of choice. Draw 2 cards if not choosing yourself</t>
        </is>
      </c>
      <c r="E96" s="7" t="n"/>
      <c r="F96" s="34" t="n">
        <v>3</v>
      </c>
      <c r="G96" s="74" t="n"/>
      <c r="H96" s="71" t="n"/>
      <c r="I96" s="71" t="n"/>
      <c r="J96" s="71" t="n"/>
    </row>
    <row r="97" ht="14" customHeight="1" s="85">
      <c r="A97" s="21" t="n"/>
      <c r="B97" s="22" t="inlineStr">
        <is>
          <t>Game Break</t>
        </is>
      </c>
      <c r="C97" s="49" t="inlineStr">
        <is>
          <t>Altercation</t>
        </is>
      </c>
      <c r="D97" s="38" t="inlineStr">
        <is>
          <t>Select another player: you and that player each discard 1 card at random. Inbound the ball to a player other than that target</t>
        </is>
      </c>
      <c r="E97" s="7" t="n"/>
      <c r="F97" s="34" t="n">
        <v>3</v>
      </c>
      <c r="G97" s="74" t="n"/>
      <c r="H97" s="71" t="n"/>
      <c r="I97" s="71" t="n"/>
      <c r="J97" s="71" t="n"/>
    </row>
    <row r="98" ht="14" customHeight="1" s="85">
      <c r="A98" s="21" t="n"/>
      <c r="B98" s="22" t="inlineStr">
        <is>
          <t>Game Break</t>
        </is>
      </c>
      <c r="C98" s="49" t="inlineStr">
        <is>
          <t>Huge Altercation</t>
        </is>
      </c>
      <c r="D98" s="38" t="inlineStr">
        <is>
          <t>All players discard their hands. If a ref is armed, all players receive 1 TOV. Inbound the ball</t>
        </is>
      </c>
      <c r="E98" s="7" t="n"/>
      <c r="F98" s="34" t="n">
        <v>1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Game Break</t>
        </is>
      </c>
      <c r="C99" s="49" t="inlineStr">
        <is>
          <t>Home Court Advantage</t>
        </is>
      </c>
      <c r="D99" s="38" t="inlineStr">
        <is>
          <t>SHOT + 10%</t>
        </is>
      </c>
      <c r="E99" s="7" t="n"/>
      <c r="F99" s="34" t="n">
        <v>3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Game Break</t>
        </is>
      </c>
      <c r="C100" s="49" t="inlineStr">
        <is>
          <t>Away Game</t>
        </is>
      </c>
      <c r="D100" s="38" t="inlineStr">
        <is>
          <t>SHOT - 10%</t>
        </is>
      </c>
      <c r="E100" s="7" t="n"/>
      <c r="F100" s="34" t="n">
        <v>3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Game Break</t>
        </is>
      </c>
      <c r="C101" s="49" t="inlineStr">
        <is>
          <t>Mic'd Up</t>
        </is>
      </c>
      <c r="D101" s="38" t="inlineStr">
        <is>
          <t>SHOT + 10% until passed or shot</t>
        </is>
      </c>
      <c r="E101" s="7" t="n"/>
      <c r="F101" s="34" t="n">
        <v>3</v>
      </c>
      <c r="G101" s="74" t="inlineStr">
        <is>
          <t>The boost is the holder's alone and does not travel with a pass</t>
        </is>
      </c>
      <c r="H101" s="71" t="n"/>
      <c r="I101" s="71" t="n"/>
      <c r="J101" s="71" t="n"/>
    </row>
    <row r="102" ht="14" customHeight="1" s="85">
      <c r="A102" s="21" t="n"/>
      <c r="B102" s="22" t="inlineStr">
        <is>
          <t>Game Break</t>
        </is>
      </c>
      <c r="C102" s="49" t="inlineStr">
        <is>
          <t>In The Zone</t>
        </is>
      </c>
      <c r="D102" s="38" t="inlineStr">
        <is>
          <t>Draw 1 card for each 10% SHOT the ball has, rounded down. Minimum 1</t>
        </is>
      </c>
      <c r="E102" s="7" t="n"/>
      <c r="F102" s="34" t="n">
        <v>3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Game Break</t>
        </is>
      </c>
      <c r="C103" s="49" t="inlineStr">
        <is>
          <t>Role Player</t>
        </is>
      </c>
      <c r="D103" s="38" t="inlineStr">
        <is>
          <t>All other players draw 1 card</t>
        </is>
      </c>
      <c r="E103" s="7" t="n"/>
      <c r="F103" s="34" t="n">
        <v>3</v>
      </c>
      <c r="G103" s="74" t="n"/>
      <c r="H103" s="71" t="n"/>
      <c r="I103" s="71" t="n"/>
      <c r="J103" s="71" t="n"/>
    </row>
    <row r="104" ht="14" customHeight="1" s="85">
      <c r="A104" s="27" t="n"/>
      <c r="B104" s="28" t="inlineStr">
        <is>
          <t>Game Break</t>
        </is>
      </c>
      <c r="C104" s="62" t="inlineStr">
        <is>
          <t>Back-and-Forth Game</t>
        </is>
      </c>
      <c r="D104" s="63" t="inlineStr">
        <is>
          <t>Discard the next 3 Game Breaks. Whoever draws one draws again</t>
        </is>
      </c>
      <c r="E104" s="58" t="n"/>
      <c r="F104" s="59" t="n">
        <v>3</v>
      </c>
      <c r="G104" s="79" t="n"/>
      <c r="H104" s="76" t="n"/>
      <c r="I104" s="76" t="n"/>
      <c r="J104" s="76" t="n"/>
    </row>
    <row r="105" ht="28" customHeight="1" s="85">
      <c r="A105" s="52" t="inlineStr">
        <is>
          <t>Injury GB</t>
        </is>
      </c>
      <c r="B105" s="53">
        <f>COUNTIF($B$106:$B$137,"Injury GB")</f>
        <v/>
      </c>
      <c r="C105" s="54" t="n"/>
      <c r="D105" s="54" t="n"/>
      <c r="E105" s="54" t="n"/>
      <c r="F105" s="55" t="n"/>
      <c r="G105" s="66" t="n"/>
      <c r="H105" s="67" t="n"/>
      <c r="I105" s="67" t="n"/>
      <c r="J105" s="67" t="n"/>
    </row>
    <row r="106" ht="28" customHeight="1" s="85">
      <c r="A106" s="27" t="n"/>
      <c r="B106" s="28" t="inlineStr">
        <is>
          <t>Injury GB</t>
        </is>
      </c>
      <c r="C106" s="56" t="inlineStr">
        <is>
          <t>Bone Bruise</t>
        </is>
      </c>
      <c r="D106" s="63" t="inlineStr">
        <is>
          <t>Discard 1 card at the start of each turn after drawing (your choice)</t>
        </is>
      </c>
      <c r="E106" s="58" t="n"/>
      <c r="F106" s="59" t="n">
        <v>3</v>
      </c>
      <c r="G106" s="75" t="n"/>
      <c r="H106" s="76" t="n"/>
      <c r="I106" s="76" t="n"/>
      <c r="J106" s="76" t="n"/>
    </row>
    <row r="107" ht="28" customHeight="1" s="85">
      <c r="A107" s="52" t="inlineStr">
        <is>
          <t>Devastating Injury GB</t>
        </is>
      </c>
      <c r="B107" s="53">
        <f>COUNTIF($B$108:$B$137,"Devastating Injury GB")</f>
        <v/>
      </c>
      <c r="C107" s="54" t="n"/>
      <c r="D107" s="54" t="n"/>
      <c r="E107" s="54" t="n"/>
      <c r="F107" s="55" t="n"/>
      <c r="G107" s="66" t="n"/>
      <c r="H107" s="67" t="n"/>
      <c r="I107" s="67" t="n"/>
      <c r="J107" s="67" t="n"/>
    </row>
    <row r="108" ht="28" customHeight="1" s="85">
      <c r="A108" s="27" t="n"/>
      <c r="B108" s="28" t="inlineStr">
        <is>
          <t>Devastating Injury GB</t>
        </is>
      </c>
      <c r="C108" s="64" t="inlineStr">
        <is>
          <t>Torn Achilles</t>
        </is>
      </c>
      <c r="D108" s="65" t="inlineStr">
        <is>
          <t>Hand is locked every turn except 1 card (randomly)</t>
        </is>
      </c>
      <c r="E108" s="58" t="n"/>
      <c r="F108" s="61" t="n"/>
      <c r="G108" s="75" t="n"/>
      <c r="H108" s="76" t="n"/>
      <c r="I108" s="76" t="n"/>
      <c r="J108" s="76" t="n"/>
    </row>
    <row r="109" ht="42" customHeight="1" s="85">
      <c r="A109" s="52" t="inlineStr">
        <is>
          <t>Intangible</t>
        </is>
      </c>
      <c r="B109" s="53">
        <f>COUNTIF($B$110:$B$137,"Intangible")</f>
        <v/>
      </c>
      <c r="C109" s="54" t="n"/>
      <c r="D109" s="54" t="n"/>
      <c r="E109" s="54" t="n"/>
      <c r="F109" s="55" t="n"/>
      <c r="G109" s="66" t="n"/>
      <c r="H109" s="67" t="n"/>
      <c r="I109" s="67" t="n"/>
      <c r="J109" s="67" t="n"/>
    </row>
    <row r="110" ht="56" customHeight="1" s="85">
      <c r="A110" s="42" t="inlineStr">
        <is>
          <t>All intangibles are limited to 1</t>
        </is>
      </c>
      <c r="B110" s="22" t="inlineStr">
        <is>
          <t>Intangible</t>
        </is>
      </c>
      <c r="C110" s="23" t="inlineStr">
        <is>
          <t>Board-Crasher</t>
        </is>
      </c>
      <c r="D110" s="6" t="inlineStr">
        <is>
          <t>SHOT +10% upon Rebounding your own missed shot</t>
        </is>
      </c>
      <c r="E110" s="7" t="n"/>
      <c r="F110" s="50" t="n"/>
      <c r="G110" s="70" t="n"/>
      <c r="H110" s="71" t="n"/>
      <c r="I110" s="71" t="n"/>
      <c r="J110" s="71" t="n"/>
    </row>
    <row r="111" ht="57" customHeight="1" s="85">
      <c r="A111" s="21" t="n"/>
      <c r="B111" s="22" t="inlineStr">
        <is>
          <t>Intangible</t>
        </is>
      </c>
      <c r="C111" s="24" t="inlineStr">
        <is>
          <t>Catch &amp; Shoot Specialist</t>
        </is>
      </c>
      <c r="D111" s="25" t="inlineStr">
        <is>
          <t>Additional SHOT +10% on all received passes</t>
        </is>
      </c>
      <c r="E111" s="26" t="n"/>
      <c r="F111" s="50" t="n"/>
      <c r="G111" s="72" t="n"/>
      <c r="H111" s="71" t="n"/>
      <c r="I111" s="71" t="n"/>
      <c r="J111" s="71" t="n"/>
    </row>
    <row r="112" ht="20" customHeight="1" s="85">
      <c r="A112" s="21" t="n"/>
      <c r="B112" s="22" t="inlineStr">
        <is>
          <t>Intangible</t>
        </is>
      </c>
      <c r="C112" s="23" t="inlineStr">
        <is>
          <t>Clutch Gene</t>
        </is>
      </c>
      <c r="D112" s="6" t="inlineStr">
        <is>
          <t>SHOT x2 if attempting a shot with 1 or fewer cards in hand or Shot Clock 3 or less</t>
        </is>
      </c>
      <c r="E112" s="7" t="n"/>
      <c r="F112" s="50" t="n"/>
      <c r="G112" s="70" t="n"/>
      <c r="H112" s="71" t="n"/>
      <c r="I112" s="71" t="n"/>
      <c r="J112" s="71" t="n"/>
    </row>
    <row r="113" ht="28" customHeight="1" s="85">
      <c r="B113" s="0" t="inlineStr">
        <is>
          <t>Intangible</t>
        </is>
      </c>
      <c r="C113" s="0" t="inlineStr">
        <is>
          <t>Roswell Reach</t>
        </is>
      </c>
      <c r="D113" s="0" t="inlineStr">
        <is>
          <t>All your Rebound bids of 1 or more count as 1 higher</t>
        </is>
      </c>
    </row>
    <row r="114" ht="42" customHeight="1" s="85">
      <c r="A114" s="21" t="n"/>
      <c r="B114" s="22" t="inlineStr">
        <is>
          <t>Intangible</t>
        </is>
      </c>
      <c r="C114" s="24" t="inlineStr">
        <is>
          <t>Floor General</t>
        </is>
      </c>
      <c r="D114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14" s="26" t="n"/>
      <c r="F114" s="50" t="n"/>
      <c r="G114" s="72" t="n"/>
      <c r="H114" s="71" t="n"/>
      <c r="I114" s="71" t="n"/>
      <c r="J114" s="71" t="n"/>
    </row>
    <row r="115" ht="28" customHeight="1" s="85">
      <c r="A115" s="21" t="n"/>
      <c r="B115" s="22" t="inlineStr">
        <is>
          <t>Intangible</t>
        </is>
      </c>
      <c r="C115" s="23" t="inlineStr">
        <is>
          <t>Fox-Like First Step</t>
        </is>
      </c>
      <c r="D115" s="6" t="inlineStr">
        <is>
          <t>All Move cards that reduce SHOT increase it by that amount instead.</t>
        </is>
      </c>
      <c r="E115" s="6" t="inlineStr">
        <is>
          <t>Your Move cards are unaffected by opponents</t>
        </is>
      </c>
      <c r="F115" s="51" t="n"/>
      <c r="G115" s="70" t="n"/>
      <c r="H115" s="71" t="n"/>
      <c r="I115" s="71" t="n"/>
      <c r="J115" s="71" t="n"/>
    </row>
    <row r="116" ht="28" customHeight="1" s="85">
      <c r="A116" s="21" t="n"/>
      <c r="B116" s="22" t="inlineStr">
        <is>
          <t>Intangible</t>
        </is>
      </c>
      <c r="C116" s="37" t="inlineStr">
        <is>
          <t>Freethrow Merchant</t>
        </is>
      </c>
      <c r="D116" s="41" t="inlineStr">
        <is>
          <t>All Clamps on you grant 1 FT instead</t>
        </is>
      </c>
      <c r="E116" s="26" t="n"/>
      <c r="F116" s="50" t="n"/>
      <c r="G116" s="77" t="n"/>
      <c r="H116" s="71" t="n"/>
      <c r="I116" s="71" t="n"/>
      <c r="J116" s="71" t="n"/>
    </row>
    <row r="117" ht="56" customHeight="1" s="85">
      <c r="A117" s="21" t="n"/>
      <c r="B117" s="22" t="inlineStr">
        <is>
          <t>Intangible</t>
        </is>
      </c>
      <c r="C117" s="37" t="inlineStr">
        <is>
          <t>Generational Whistle</t>
        </is>
      </c>
      <c r="D117" s="38" t="inlineStr">
        <is>
          <t>Take 1 additional FT</t>
        </is>
      </c>
      <c r="E117" s="7" t="n"/>
      <c r="F117" s="50" t="n"/>
      <c r="G117" s="70" t="n"/>
      <c r="H117" s="71" t="n"/>
      <c r="I117" s="71" t="n"/>
      <c r="J117" s="71" t="n"/>
    </row>
    <row r="118" ht="56" customHeight="1" s="85">
      <c r="A118" s="21" t="n"/>
      <c r="B118" s="22" t="inlineStr">
        <is>
          <t>Intangible</t>
        </is>
      </c>
      <c r="C118" s="24" t="inlineStr">
        <is>
          <t>Gravity</t>
        </is>
      </c>
      <c r="D118" s="25" t="inlineStr">
        <is>
          <t>All Clamps automatically apply to you. +1 AST whenever another player attempts a shot</t>
        </is>
      </c>
      <c r="E118" s="26" t="n"/>
      <c r="F118" s="50" t="n"/>
      <c r="G118" s="72" t="n"/>
      <c r="H118" s="71" t="n"/>
      <c r="I118" s="71" t="n"/>
      <c r="J118" s="71" t="n"/>
    </row>
    <row r="119" ht="28" customHeight="1" s="85">
      <c r="A119" s="21" t="n"/>
      <c r="B119" s="22" t="inlineStr">
        <is>
          <t>Intangible</t>
        </is>
      </c>
      <c r="C119" s="23" t="inlineStr">
        <is>
          <t>Great Conditioning</t>
        </is>
      </c>
      <c r="D119" s="6" t="inlineStr">
        <is>
          <t>Immediately discard all Injury Game Breaks you draw and draw a new card for each</t>
        </is>
      </c>
      <c r="E119" s="7" t="n"/>
      <c r="F119" s="50" t="n"/>
      <c r="G119" s="70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4" t="inlineStr">
        <is>
          <t>Hot Hand</t>
        </is>
      </c>
      <c r="D120" s="25" t="inlineStr">
        <is>
          <t>SHOT +20% if you scored last round.</t>
        </is>
      </c>
      <c r="E120" s="26" t="n"/>
      <c r="F120" s="50" t="n"/>
      <c r="G120" s="72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23" t="inlineStr">
        <is>
          <t>Like That</t>
        </is>
      </c>
      <c r="D121" s="38" t="inlineStr">
        <is>
          <t>Your SHOT % cannot be reduced</t>
        </is>
      </c>
      <c r="E121" s="7" t="n"/>
      <c r="F121" s="50" t="n"/>
      <c r="G121" s="70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24" t="inlineStr">
        <is>
          <t>No Bag</t>
        </is>
      </c>
      <c r="D122" s="25" t="inlineStr">
        <is>
          <t>Cannot activate Move cards this round</t>
        </is>
      </c>
      <c r="E122" s="26" t="n"/>
      <c r="F122" s="50" t="n"/>
      <c r="G122" s="73" t="inlineStr">
        <is>
          <t>Bad card to draw</t>
        </is>
      </c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3" t="inlineStr">
        <is>
          <t>Point God</t>
        </is>
      </c>
      <c r="D123" s="6" t="inlineStr">
        <is>
          <t>Draw 1 card following each of your passes</t>
        </is>
      </c>
      <c r="E123" s="7" t="n"/>
      <c r="F123" s="50" t="n"/>
      <c r="G123" s="70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4" t="inlineStr">
        <is>
          <t>Shooting Slump</t>
        </is>
      </c>
      <c r="D124" s="25" t="inlineStr">
        <is>
          <t>SHOT -20% this round</t>
        </is>
      </c>
      <c r="E124" s="26" t="n"/>
      <c r="F124" s="50" t="n"/>
      <c r="G124" s="73" t="inlineStr">
        <is>
          <t>Bad card to draw</t>
        </is>
      </c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3" t="inlineStr">
        <is>
          <t>Shot Creator</t>
        </is>
      </c>
      <c r="D125" s="6" t="inlineStr">
        <is>
          <t>Draw 1 additional card after every draw effect</t>
        </is>
      </c>
      <c r="E125" s="7" t="n"/>
      <c r="F125" s="50" t="n"/>
      <c r="G125" s="70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4" t="inlineStr">
        <is>
          <t>Sixth Man</t>
        </is>
      </c>
      <c r="D126" s="25" t="inlineStr">
        <is>
          <t>SHOT = 100% if taking 6th shot of the round</t>
        </is>
      </c>
      <c r="E126" s="26" t="n"/>
      <c r="F126" s="50" t="n"/>
      <c r="G126" s="72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3" t="inlineStr">
        <is>
          <t>Sniper</t>
        </is>
      </c>
      <c r="D127" s="6" t="inlineStr">
        <is>
          <t>SHOT +10% on all Three-Point Line Shots</t>
        </is>
      </c>
      <c r="E127" s="7" t="n"/>
      <c r="F127" s="50" t="n"/>
      <c r="G127" s="70" t="n"/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4" t="inlineStr">
        <is>
          <t>Splash Cousin</t>
        </is>
      </c>
      <c r="D128" s="25" t="inlineStr">
        <is>
          <t>All Three-Point Line Shots: SHOT = 100%</t>
        </is>
      </c>
      <c r="E128" s="26" t="n"/>
      <c r="F128" s="50" t="n"/>
      <c r="G128" s="72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3" t="inlineStr">
        <is>
          <t>Competitive</t>
        </is>
      </c>
      <c r="D129" s="38" t="inlineStr">
        <is>
          <t>All Clamps on you have no effect on SHOT %</t>
        </is>
      </c>
      <c r="E129" s="7" t="n"/>
      <c r="F129" s="50" t="n"/>
      <c r="G129" s="70" t="n"/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4" t="inlineStr">
        <is>
          <t>Lethal Shooter</t>
        </is>
      </c>
      <c r="D130" s="25" t="inlineStr">
        <is>
          <t>SHOT = 100% on next shot attempt after rebounding your own miss.</t>
        </is>
      </c>
      <c r="E130" s="26" t="n"/>
      <c r="F130" s="50" t="n"/>
      <c r="G130" s="73" t="inlineStr">
        <is>
          <t>Special text: “I understand it now”</t>
        </is>
      </c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3" t="inlineStr">
        <is>
          <t>Ball Pounder</t>
        </is>
      </c>
      <c r="D131" s="38" t="inlineStr">
        <is>
          <t>All Dribble cards you play draw an additional card but lower SHOT by an additional 10%</t>
        </is>
      </c>
      <c r="E131" s="7" t="n"/>
      <c r="F131" s="50" t="n"/>
      <c r="G131" s="70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Unselfish</t>
        </is>
      </c>
      <c r="D132" s="38" t="inlineStr">
        <is>
          <t>Draw 1 card and increase next SHOT +5% whenever you positively affect another player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3" t="inlineStr">
        <is>
          <t>Dirty Player</t>
        </is>
      </c>
      <c r="D133" s="38" t="inlineStr">
        <is>
          <t>When sending Clamps, the clamped player discards 1 if they have any Injuries</t>
        </is>
      </c>
      <c r="E133" s="7" t="n"/>
      <c r="F133" s="50" t="n"/>
      <c r="G133" s="70" t="n"/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Villainous Reputation</t>
        </is>
      </c>
      <c r="D134" s="38" t="inlineStr">
        <is>
          <t>Discard 1 whenever any Whistle triggers</t>
        </is>
      </c>
      <c r="E134" s="7" t="n"/>
      <c r="F134" s="50" t="n"/>
      <c r="G134" s="70" t="inlineStr">
        <is>
          <t>Discarded during play, it attaches to a random player — possibly you again</t>
        </is>
      </c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3" t="inlineStr">
        <is>
          <t>Free Agent</t>
        </is>
      </c>
      <c r="D135" s="38" t="inlineStr">
        <is>
          <t>Discard your hand. Play a card at random from a player of your choosing (they keep it)</t>
        </is>
      </c>
      <c r="E135" s="7" t="n"/>
      <c r="F135" s="50" t="n"/>
      <c r="G135" s="70" t="inlineStr">
        <is>
          <t>The discard waits for the draw chain to finish. Target is shuffled first and is affected by Floor General. Your own draws are kept. All-0 rebounds are yours; otherwise you cannot bid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Franchise Player</t>
        </is>
      </c>
      <c r="D136" s="38" t="inlineStr">
        <is>
          <t>When passing, choose 1 of the new player's Intangibles or a card in their hand for them to discard</t>
        </is>
      </c>
      <c r="E136" s="7" t="n"/>
      <c r="F136" s="50" t="n"/>
      <c r="G136" s="70" t="n"/>
      <c r="H136" s="71" t="n"/>
      <c r="I136" s="71" t="n"/>
      <c r="J136" s="71" t="n"/>
    </row>
    <row r="137">
      <c r="A137" s="27" t="n"/>
      <c r="B137" s="28" t="inlineStr">
        <is>
          <t>Intangible</t>
        </is>
      </c>
      <c r="C137" s="56" t="inlineStr">
        <is>
          <t>Fundamentalist</t>
        </is>
      </c>
      <c r="D137" s="63" t="inlineStr">
        <is>
          <t>No Special Moves. Each Move once a turn. Swings, Skip Pass and Dribble are never spent</t>
        </is>
      </c>
      <c r="E137" s="58" t="n"/>
      <c r="F137" s="61" t="n"/>
      <c r="G137" s="75" t="n"/>
      <c r="H137" s="76" t="n"/>
      <c r="I137" s="76" t="n"/>
      <c r="J137" s="76" t="n"/>
    </row>
  </sheetData>
  <mergeCells count="123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2026-09-07T00:35:16Z</dcterms:modified>
  <cp:lastModifiedBy>Montre Smith</cp:lastModifiedBy>
</cp:coreProperties>
</file>