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Retired — out of the deck, replaced by Varenas and Variaballs</t>
        </is>
      </c>
      <c r="C9" s="7" t="n"/>
      <c r="D9" s="7" t="n"/>
      <c r="E9" s="7" t="n"/>
    </row>
    <row r="10" ht="32" customHeight="1" s="85">
      <c r="A10" s="6" t="inlineStr">
        <is>
          <t>Injury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</t>
        </is>
      </c>
      <c r="B11" s="6" t="inlineStr">
        <is>
          <t>A sub-type of Injury. Same as above but also have effects that linger through the rounds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17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</t>
        </is>
      </c>
      <c r="H1" s="11" t="inlineStr">
        <is>
          <t>Devastating Injury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COUNTIF($B$5:$B$154,"Pass")</f>
        <v/>
      </c>
      <c r="C2" s="13">
        <f>COUNTIF($B$5:$B$154,"Move")+COUNTIF($B$5:$B$154,"Special Move")</f>
        <v/>
      </c>
      <c r="D2" s="14">
        <f>COUNTIF($B$5:$B$154,"Clamp")</f>
        <v/>
      </c>
      <c r="E2" s="15">
        <f>COUNTIF($B$5:$B$154,"Whistle")</f>
        <v/>
      </c>
      <c r="F2" s="16">
        <f>COUNTIF($B$5:$B$154,"Game Break")</f>
        <v/>
      </c>
      <c r="G2" s="18">
        <f>COUNTIF($B$5:$B$154,"Injury")</f>
        <v/>
      </c>
      <c r="H2" s="19">
        <f>COUNTIF($B$5:$B$154,"Devastating Injury")</f>
        <v/>
      </c>
      <c r="I2" s="17">
        <f>COUNTIF($B$5:$B$154,"Intangible")</f>
        <v/>
      </c>
      <c r="J2" s="87">
        <f>SUM(B2:E2)+COUNTIF($B$5:$B$154,"Game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COUNTIF($B$6:$B$158,"Pass")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last player. Gains what the pass to you gained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SHOT +10%. Pass to target player.</t>
        </is>
      </c>
      <c r="E7" s="6" t="inlineStr">
        <is>
          <t>Extra AST + 1 if new player scores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+10%. Pass to target player. They must shoot.</t>
        </is>
      </c>
      <c r="E8" s="26" t="inlineStr">
        <is>
          <t>You may add current Ball to hand while passing.</t>
        </is>
      </c>
      <c r="F8" s="33" t="n">
        <v>5</v>
      </c>
      <c r="G8" s="72" t="inlineStr">
        <is>
          <t>Dunked as the receiver's first action, it's the Alley-Oop combo: SHOT +10% extra. A receiver holding a dunk card is asked "Dunk It?". The bonus takes the Ball out of play</t>
        </is>
      </c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SHOT +10%. Pass Left or Right. Knock 1 card to next player.</t>
        </is>
      </c>
      <c r="E9" s="7" t="n"/>
      <c r="F9" s="34" t="n">
        <v>5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</t>
        </is>
      </c>
      <c r="E10" s="26" t="n"/>
      <c r="F10" s="33" t="n">
        <v>5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</t>
        </is>
      </c>
      <c r="E11" s="7" t="n"/>
      <c r="F11" s="34" t="n">
        <v>15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</t>
        </is>
      </c>
      <c r="E12" s="26" t="n"/>
      <c r="F12" s="33" t="n">
        <v>15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SHOT +10%. Pass to random other player.</t>
        </is>
      </c>
      <c r="E13" s="7" t="inlineStr">
        <is>
          <t>You may flip a coin while passing. If Heads, Draw 1 card.</t>
        </is>
      </c>
      <c r="F13" s="34" t="n">
        <v>5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SHOT +10%. Pass to target player. Discard 1 card from their hand while passing</t>
        </is>
      </c>
      <c r="E14" s="25" t="n"/>
      <c r="F14" s="36" t="n">
        <v>5</v>
      </c>
      <c r="G14" s="72" t="inlineStr">
        <is>
          <t>The passer picks the card, facedown</t>
        </is>
      </c>
      <c r="H14" s="71" t="n"/>
      <c r="I14" s="71" t="n"/>
      <c r="J14" s="71" t="n"/>
    </row>
    <row r="15" ht="20" customHeight="1" s="85">
      <c r="A15" s="21" t="n"/>
      <c r="B15" s="22" t="inlineStr">
        <is>
          <t>Retired 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0</v>
      </c>
      <c r="G15" s="72" t="inlineStr">
        <is>
          <t>Retired: now the Alley-Oop combo — a Lob, then any dunk card as the first action, SHOT +10%</t>
        </is>
      </c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+10%. Pass left or right. Draw 1 card while passing.</t>
        </is>
      </c>
      <c r="E16" s="25" t="n"/>
      <c r="F16" s="36" t="n">
        <v>5</v>
      </c>
      <c r="G16" s="72" t="inlineStr">
        <is>
          <t>Combo DHO: after a Dribble, SHOT +10% and Draw 1 extra card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+10%. Pass to target player. Shot Clock +01.</t>
        </is>
      </c>
      <c r="E17" s="25" t="inlineStr">
        <is>
          <t>You may Reset the Shot Clock at the start of your next possession</t>
        </is>
      </c>
      <c r="F17" s="36" t="n">
        <v>5</v>
      </c>
      <c r="G17" s="72" t="inlineStr">
        <is>
          <t>Chosen when that possession starts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+10%. Pass to target player. They must immediately shoot a Three. Draw 2 cards while passing.</t>
        </is>
      </c>
      <c r="E18" s="25" t="inlineStr">
        <is>
          <t>You may Assign all your Clamps to new player while passing.</t>
        </is>
      </c>
      <c r="F18" s="36" t="n">
        <v>5</v>
      </c>
      <c r="G18" s="72" t="inlineStr">
        <is>
          <t>They attempt the three after their draw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+10%. Pass to target player. They must immediately pass it back. (They do not play a Pass card)</t>
        </is>
      </c>
      <c r="E19" s="25" t="n"/>
      <c r="F19" s="36" t="n">
        <v>5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+10%. Pass to target player.</t>
        </is>
      </c>
      <c r="E20" s="30" t="inlineStr">
        <is>
          <t>If played as your first action: Draw 2 cards</t>
        </is>
      </c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COUNTIF($B$22:$B$158,"Move")+COUNTIF($B$22:$B$158,"Special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2 cards. SHOT -10%</t>
        </is>
      </c>
      <c r="E22" s="26" t="n"/>
      <c r="F22" s="33" t="n">
        <v>10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Draw 1 card. SHOT +10%</t>
        </is>
      </c>
      <c r="E23" s="6" t="n"/>
      <c r="F23" s="32" t="n">
        <v>10</v>
      </c>
      <c r="G23" s="70" t="inlineStr">
        <is>
          <t>Combo: after a Dribble, SHOT +10% extra</t>
        </is>
      </c>
      <c r="H23" s="71" t="n"/>
      <c r="I23" s="71" t="n"/>
      <c r="J23" s="71" t="n"/>
    </row>
    <row r="24" ht="28" customHeight="1" s="85">
      <c r="A24" s="21" t="n"/>
      <c r="B24" s="22" t="inlineStr">
        <is>
          <t>Retired 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0</v>
      </c>
      <c r="G24" s="72" t="inlineStr">
        <is>
          <t>Retired: now the Ankle Breaker combo — Dribble then Crossover: Shot +10% extra. You may discard 1 card from target player's hand.</t>
        </is>
      </c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Draw 1 card. Clear all Clamps. Take 1 FT for each. If no Clamps,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+10%. Draw 2 cards. Shot Clock -01.</t>
        </is>
      </c>
      <c r="E26" s="25" t="n"/>
      <c r="F26" s="36" t="n">
        <v>5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Draw 1 card. SHOT +10%. Clear all Clamps on you. Draw 2 extra cards and Shot Clock -01 for each.</t>
        </is>
      </c>
      <c r="E27" s="6" t="n"/>
      <c r="F27" s="32" t="n">
        <v>5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SHOT +10%. Draw 2 cards.</t>
        </is>
      </c>
      <c r="E28" s="26" t="inlineStr">
        <is>
          <t>If your next action is a Shot Attempt, it has SHOT +10% extra.</t>
        </is>
      </c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SHOT +10%. Draw 3 cards then Discard 1. Shot Clock -01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Draw 1 card. SHOT +10%. Clear all your Clamps</t>
        </is>
      </c>
      <c r="E30" s="26" t="inlineStr">
        <is>
          <t>SHOT +10% for each Clamp Cleared</t>
        </is>
      </c>
      <c r="F30" s="33" t="n">
        <v>5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+10%. Clear all your Clamps</t>
        </is>
      </c>
      <c r="E31" s="26" t="inlineStr">
        <is>
          <t>Draw 1 card for each Clamp Cleared</t>
        </is>
      </c>
      <c r="F31" s="33" t="n">
        <v>5</v>
      </c>
      <c r="G31" s="77" t="inlineStr">
        <is>
          <t>Finishes the Ankle Breaker combo off a Dribble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Draw 1 card. SHOT +10%</t>
        </is>
      </c>
      <c r="E32" s="6" t="inlineStr">
        <is>
          <t>You may Discard 1 card for SHOT +10% extra.</t>
        </is>
      </c>
      <c r="F32" s="32" t="n">
        <v>5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Draw 1 card, then pick 1: Draw 3 extra cards Pass (+0%) SHOT +30% (Cannot play other Move cards this possession.)</t>
        </is>
      </c>
      <c r="E33" s="25" t="n"/>
      <c r="F33" s="36" t="n">
        <v>5</v>
      </c>
      <c r="G33" s="72" t="inlineStr">
        <is>
          <t>Blocks Moves played before it as well as after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First action only: Step aside, dodging the ball and all Clamps. Draw 1 card.</t>
        </is>
      </c>
      <c r="E34" s="30" t="n"/>
      <c r="F34" s="35" t="n">
        <v>5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COUNTIF($B$36:$B$158,"Special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 Heads: SHOT +25% Tails: SHOT -25%</t>
        </is>
      </c>
      <c r="E36" s="25" t="n"/>
      <c r="F36" s="36" t="n">
        <v>1</v>
      </c>
      <c r="G36" s="72" t="inlineStr">
        <is>
          <t>Never dunks</t>
        </is>
      </c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100%. (Can only be played if the Shot Clock is at 01)</t>
        </is>
      </c>
      <c r="E37" s="6" t="n"/>
      <c r="F37" s="32" t="n">
        <v>1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SHOT +60%. SHOT -10% x Shot Clock</t>
        </is>
      </c>
      <c r="E38" s="25" t="n"/>
      <c r="F38" s="36" t="n">
        <v>1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</t>
        </is>
      </c>
      <c r="E39" s="6" t="n"/>
      <c r="F39" s="32" t="n">
        <v>1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n"/>
      <c r="F40" s="36" t="n">
        <v>1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n"/>
      <c r="F41" s="32" t="n">
        <v>1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n"/>
      <c r="F42" s="36" t="n">
        <v>1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+10%</t>
        </is>
      </c>
      <c r="E43" s="6" t="inlineStr">
        <is>
          <t>If played as your first action after a Rebound: SHOT = 100%</t>
        </is>
      </c>
      <c r="F43" s="32" t="n">
        <v>1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This shot is unaffected by Clamps.</t>
        </is>
      </c>
      <c r="F44" s="36" t="n">
        <v>1</v>
      </c>
      <c r="G44" s="72" t="inlineStr">
        <is>
          <t>Never dunks</t>
        </is>
      </c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+25%</t>
        </is>
      </c>
      <c r="E45" s="6" t="inlineStr">
        <is>
          <t>SHOT = 100% if final SHOT is 75% or more</t>
        </is>
      </c>
      <c r="F45" s="32" t="n">
        <v>1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SHOT -30%.</t>
        </is>
      </c>
      <c r="E46" s="25" t="inlineStr">
        <is>
          <t>If you have 3 or more cards in hand, you may Discard them: SHOT = 100%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4 coins. 3 or fewer Heads: SHOT +15% and Draw 1 card for each. 4 Heads: TOV +1 (This is a Travel)</t>
        </is>
      </c>
      <c r="E47" s="7" t="n"/>
      <c r="F47" s="34" t="n">
        <v>1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If all other players have had possession of the Ball this round: SHOT = 100%</t>
        </is>
      </c>
      <c r="E48" s="58" t="n"/>
      <c r="F48" s="59" t="n">
        <v>1</v>
      </c>
      <c r="G48" s="75" t="n"/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Discard up to 2 cards. SHOT +25% for each</t>
        </is>
      </c>
      <c r="E49" s="0" t="inlineStr">
        <is>
          <t>If played as the first action after your Rebound, you may Discard any number of cards: SHOT +10% extra for each.</t>
        </is>
      </c>
      <c r="F49" s="0" t="n">
        <v>1</v>
      </c>
      <c r="G49" s="0" t="inlineStr">
        <is>
          <t>Always the reverse dunk</t>
        </is>
      </c>
    </row>
    <row r="50" ht="56" customHeight="1" s="85">
      <c r="B50" s="0" t="inlineStr">
        <is>
          <t>Retired 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</t>
        </is>
      </c>
      <c r="E50" s="0" t="n"/>
      <c r="F50" s="0" t="n">
        <v>0</v>
      </c>
      <c r="G50" s="0" t="inlineStr">
        <is>
          <t>Removed from the game (2026-09-14)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50% or more: SHOT +25% SHOT less than 50%: SHOT -25%</t>
        </is>
      </c>
      <c r="E51" s="0" t="n"/>
      <c r="F51" s="0" t="n">
        <v>1</v>
      </c>
      <c r="G51" s="0" t="inlineStr">
        <is>
          <t>Always the one-hand dunk</t>
        </is>
      </c>
    </row>
    <row r="52" ht="47" customHeight="1" s="85">
      <c r="B52" s="0" t="inlineStr">
        <is>
          <t>Special Move</t>
        </is>
      </c>
      <c r="C52" s="0" t="inlineStr">
        <is>
          <t>Three-Ball</t>
        </is>
      </c>
      <c r="D52" s="0" t="inlineStr">
        <is>
          <t>SHOT -10%</t>
        </is>
      </c>
      <c r="E52" s="0" t="n"/>
      <c r="F52" s="0" t="n">
        <v>1</v>
      </c>
      <c r="G52" s="0" t="n"/>
    </row>
    <row r="53" ht="54" customHeight="1" s="85">
      <c r="A53" s="52" t="inlineStr">
        <is>
          <t>Clamp</t>
        </is>
      </c>
      <c r="B53" s="53">
        <f>COUNTIF($B$54:$B$158,"Clamp")</f>
        <v/>
      </c>
      <c r="C53" s="54" t="n"/>
      <c r="D53" s="54" t="n"/>
      <c r="E53" s="54" t="n"/>
      <c r="F53" s="55" t="n"/>
      <c r="G53" s="66" t="n"/>
      <c r="H53" s="67" t="n"/>
      <c r="I53" s="67" t="n"/>
      <c r="J53" s="67" t="n"/>
    </row>
    <row r="54" ht="28" customHeight="1" s="85">
      <c r="A54" s="21" t="n"/>
      <c r="B54" s="22" t="inlineStr">
        <is>
          <t>Clamp</t>
        </is>
      </c>
      <c r="C54" s="23" t="inlineStr">
        <is>
          <t>Contest</t>
        </is>
      </c>
      <c r="D54" s="6" t="inlineStr">
        <is>
          <t>Target player: SHOT -25% Clear: SHOT 60% or more</t>
        </is>
      </c>
      <c r="E54" s="7" t="n"/>
      <c r="F54" s="34" t="n">
        <v>8</v>
      </c>
      <c r="G54" s="80" t="inlineStr">
        <is>
          <t>1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4" t="inlineStr">
        <is>
          <t>Double-Team</t>
        </is>
      </c>
      <c r="D55" s="25" t="inlineStr">
        <is>
          <t>Target player Lock2 Clear: 2 cards or fewer in hand</t>
        </is>
      </c>
      <c r="E55" s="26" t="n"/>
      <c r="F55" s="33" t="n">
        <v>3</v>
      </c>
      <c r="G55" s="77" t="inlineStr">
        <is>
          <t>2 def</t>
        </is>
      </c>
      <c r="H55" s="71" t="n"/>
      <c r="I55" s="71" t="n"/>
      <c r="J55" s="71" t="n"/>
    </row>
    <row r="56" ht="28" customHeight="1" s="85">
      <c r="A56" s="21" t="n"/>
      <c r="B56" s="22" t="inlineStr">
        <is>
          <t>Clamp</t>
        </is>
      </c>
      <c r="C56" s="23" t="inlineStr">
        <is>
          <t>Full-Court Press</t>
        </is>
      </c>
      <c r="D56" s="6" t="inlineStr">
        <is>
          <t>Target player Discard2</t>
        </is>
      </c>
      <c r="E56" s="7" t="n"/>
      <c r="F56" s="34" t="n">
        <v>2</v>
      </c>
      <c r="G56" s="80" t="inlineStr">
        <is>
          <t>1 def</t>
        </is>
      </c>
      <c r="H56" s="71" t="n"/>
      <c r="I56" s="71" t="n"/>
      <c r="J56" s="71" t="n"/>
    </row>
    <row r="57" ht="42" customHeight="1" s="85">
      <c r="A57" s="21" t="n"/>
      <c r="B57" s="22" t="inlineStr">
        <is>
          <t>Clamp</t>
        </is>
      </c>
      <c r="C57" s="24" t="inlineStr">
        <is>
          <t>Trap</t>
        </is>
      </c>
      <c r="D57" s="41" t="inlineStr">
        <is>
          <t>Target player can only Pass or Shoot Clear: Give up the ball</t>
        </is>
      </c>
      <c r="E57" s="26" t="n"/>
      <c r="F57" s="33" t="n">
        <v>3</v>
      </c>
      <c r="G57" s="77" t="inlineStr">
        <is>
          <t>They can still shoot as another option; 3 def</t>
        </is>
      </c>
      <c r="H57" s="71" t="n"/>
      <c r="I57" s="71" t="n"/>
      <c r="J57" s="71" t="n"/>
    </row>
    <row r="58" ht="40" customHeight="1" s="85">
      <c r="A58" s="27" t="n"/>
      <c r="B58" s="28" t="inlineStr">
        <is>
          <t>Clamp</t>
        </is>
      </c>
      <c r="C58" s="56" t="inlineStr">
        <is>
          <t>Triple-Team</t>
        </is>
      </c>
      <c r="D58" s="57" t="inlineStr">
        <is>
          <t>Target player Lock3 Clear: 1 card or fewer in hand</t>
        </is>
      </c>
      <c r="E58" s="58" t="n"/>
      <c r="F58" s="59" t="n">
        <v>3</v>
      </c>
      <c r="G58" s="83" t="inlineStr">
        <is>
          <t>3 def</t>
        </is>
      </c>
      <c r="H58" s="76" t="n"/>
      <c r="I58" s="76" t="n"/>
      <c r="J58" s="76" t="n"/>
    </row>
    <row r="59" ht="40" customHeight="1" s="85">
      <c r="A59" s="27" t="n"/>
      <c r="B59" s="28" t="inlineStr">
        <is>
          <t>Clamp</t>
        </is>
      </c>
      <c r="C59" s="56" t="inlineStr">
        <is>
          <t>Close-Out</t>
        </is>
      </c>
      <c r="D59" s="57" t="inlineStr">
        <is>
          <t>Target player cannot attempt a Three Clear: Shot Clock 03 or less</t>
        </is>
      </c>
      <c r="E59" s="58" t="n"/>
      <c r="F59" s="59" t="n">
        <v>4</v>
      </c>
      <c r="G59" s="83" t="inlineStr">
        <is>
          <t>A Kick-Out to them is not shot — it becomes a normal pass</t>
        </is>
      </c>
      <c r="H59" s="76" t="n"/>
      <c r="I59" s="76" t="n"/>
      <c r="J59" s="76" t="n"/>
    </row>
    <row r="60" ht="40" customHeight="1" s="85">
      <c r="A60" s="27" t="n"/>
      <c r="B60" s="28" t="inlineStr">
        <is>
          <t>Clamp</t>
        </is>
      </c>
      <c r="C60" s="56" t="inlineStr">
        <is>
          <t>Zone</t>
        </is>
      </c>
      <c r="D60" s="57" t="inlineStr">
        <is>
          <t>Target player cannot Shoot. With no playable Pass cards, TOV +1 and the round ends Clear: Give up the ball</t>
        </is>
      </c>
      <c r="E60" s="58" t="n"/>
      <c r="F60" s="59" t="n">
        <v>1</v>
      </c>
      <c r="G60" s="83" t="inlineStr">
        <is>
          <t>Checked any time during the possession</t>
        </is>
      </c>
      <c r="H60" s="76" t="n"/>
      <c r="I60" s="76" t="n"/>
      <c r="J60" s="76" t="n"/>
    </row>
    <row r="61" ht="40" customHeight="1" s="85">
      <c r="A61" s="27" t="n"/>
      <c r="B61" s="28" t="inlineStr">
        <is>
          <t>Clamp</t>
        </is>
      </c>
      <c r="C61" s="56" t="inlineStr">
        <is>
          <t>Man-To-Man</t>
        </is>
      </c>
      <c r="D61" s="57" t="inlineStr">
        <is>
          <t>Target player: SHOT -10% each time a card is played Clear: 3 Move cards this possession</t>
        </is>
      </c>
      <c r="E61" s="58" t="n"/>
      <c r="F61" s="59" t="n">
        <v>4</v>
      </c>
      <c r="G61" s="83" t="n"/>
      <c r="H61" s="76" t="n"/>
      <c r="I61" s="76" t="n"/>
      <c r="J61" s="76" t="n"/>
    </row>
    <row r="62" ht="30" customHeight="1" s="85">
      <c r="B62" s="28" t="inlineStr">
        <is>
          <t>Clamp</t>
        </is>
      </c>
      <c r="C62" s="56" t="inlineStr">
        <is>
          <t>Crushing Center</t>
        </is>
      </c>
      <c r="D62" s="57" t="inlineStr">
        <is>
          <t>Target player with 2 cards or fewer in hand: SHOT -30% Clear: 4 cards or more in hand</t>
        </is>
      </c>
      <c r="E62" s="58" t="n"/>
      <c r="F62" s="59" t="n">
        <v>6</v>
      </c>
      <c r="G62" s="83" t="inlineStr">
        <is>
          <t>Pace defender: only bites at 2 cards or fewer. Beaten by drawing back up</t>
        </is>
      </c>
      <c r="H62" s="76" t="n"/>
      <c r="I62" s="76" t="n"/>
      <c r="J62" s="76" t="n"/>
    </row>
    <row r="63" ht="56" customHeight="1" s="85">
      <c r="B63" s="28" t="inlineStr">
        <is>
          <t>Clamp</t>
        </is>
      </c>
      <c r="C63" s="56" t="inlineStr">
        <is>
          <t>Pressing Point</t>
        </is>
      </c>
      <c r="D63" s="57" t="inlineStr">
        <is>
          <t>Target player with 4 cards or more in hand: SHOT -30% Clear: 2 cards or fewer in hand</t>
        </is>
      </c>
      <c r="E63" s="58" t="n"/>
      <c r="F63" s="59" t="n">
        <v>6</v>
      </c>
      <c r="G63" s="83" t="inlineStr">
        <is>
          <t>Pace defender: only bites at 4 cards or more. Beaten by spending down</t>
        </is>
      </c>
      <c r="H63" s="76" t="n"/>
      <c r="I63" s="76" t="n"/>
      <c r="J63" s="76" t="n"/>
    </row>
    <row r="64" ht="42" customHeight="1" s="85">
      <c r="B64" s="28" t="inlineStr">
        <is>
          <t>Clamp</t>
        </is>
      </c>
      <c r="C64" s="56" t="inlineStr">
        <is>
          <t>Lurking Wing</t>
        </is>
      </c>
      <c r="D64" s="57" t="inlineStr">
        <is>
          <t>Target player at Shot Clock 05 or less: SHOT -25% Clear: Shot Clock 06 or more</t>
        </is>
      </c>
      <c r="E64" s="58" t="n"/>
      <c r="F64" s="59" t="n">
        <v>4</v>
      </c>
      <c r="G64" s="83" t="inlineStr">
        <is>
          <t>Only bites late on the Shot Clock. Beaten by Resetting it</t>
        </is>
      </c>
      <c r="H64" s="76" t="n"/>
      <c r="I64" s="76" t="n"/>
      <c r="J64" s="76" t="n"/>
    </row>
    <row r="65" ht="42" customHeight="1" s="85">
      <c r="B65" s="28" t="inlineStr">
        <is>
          <t>Clamp</t>
        </is>
      </c>
      <c r="C65" s="56" t="inlineStr">
        <is>
          <t>Help-Side Forward</t>
        </is>
      </c>
      <c r="D65" s="57" t="inlineStr">
        <is>
          <t>Target player: SHOT -15% Clear: 2 Move cards this possession</t>
        </is>
      </c>
      <c r="E65" s="58" t="n"/>
      <c r="F65" s="59" t="n">
        <v>4</v>
      </c>
      <c r="G65" s="83" t="inlineStr">
        <is>
          <t>Always bites. Beaten off the dribble</t>
        </is>
      </c>
      <c r="H65" s="76" t="n"/>
      <c r="I65" s="76" t="n"/>
      <c r="J65" s="76" t="n"/>
    </row>
    <row r="66" ht="42" customHeight="1" s="85">
      <c r="B66" s="28" t="inlineStr">
        <is>
          <t>Clamp</t>
        </is>
      </c>
      <c r="C66" s="56" t="inlineStr">
        <is>
          <t>Baseline Denial</t>
        </is>
      </c>
      <c r="D66" s="57" t="inlineStr">
        <is>
          <t>Target player can only shoot a Layup Clear: 5 cards in hand</t>
        </is>
      </c>
      <c r="E66" s="58" t="n"/>
      <c r="F66" s="59" t="n">
        <v>4</v>
      </c>
      <c r="G66" s="83" t="inlineStr">
        <is>
          <t>Forcer: walks the player into a Layup, which Offensive Foul is watching</t>
        </is>
      </c>
      <c r="H66" s="76" t="n"/>
      <c r="I66" s="76" t="n"/>
      <c r="J66" s="76" t="n"/>
    </row>
    <row r="67" ht="28" customHeight="1" s="85">
      <c r="B67" s="28" t="inlineStr">
        <is>
          <t>Clamp</t>
        </is>
      </c>
      <c r="C67" s="56" t="inlineStr">
        <is>
          <t>Paint Packer</t>
        </is>
      </c>
      <c r="D67" s="57" t="inlineStr">
        <is>
          <t>Target player can only shoot a Three Clear: 2 cards or fewer in hand</t>
        </is>
      </c>
      <c r="E67" s="58" t="n"/>
      <c r="F67" s="59" t="n">
        <v>4</v>
      </c>
      <c r="G67" s="83" t="inlineStr">
        <is>
          <t>Forcer: walks the player into a Three, which Foot On The Line is watching</t>
        </is>
      </c>
      <c r="H67" s="76" t="n"/>
      <c r="I67" s="76" t="n"/>
      <c r="J67" s="76" t="n"/>
    </row>
    <row r="68" ht="42" customHeight="1" s="85">
      <c r="B68" s="28" t="inlineStr">
        <is>
          <t>Clamp</t>
        </is>
      </c>
      <c r="C68" s="56" t="inlineStr">
        <is>
          <t>Rim Runner</t>
        </is>
      </c>
      <c r="D68" s="57" t="inlineStr">
        <is>
          <t>Target player can only shoot a Dunk Clear: SHOT 40% or less</t>
        </is>
      </c>
      <c r="E68" s="58" t="n"/>
      <c r="F68" s="59" t="n">
        <v>4</v>
      </c>
      <c r="G68" s="83" t="inlineStr">
        <is>
          <t>Forcer: walks the player into a Dunk, which Charge is watching</t>
        </is>
      </c>
      <c r="H68" s="76" t="n"/>
      <c r="I68" s="76" t="n"/>
      <c r="J68" s="76" t="n"/>
    </row>
    <row r="69" ht="29" customHeight="1" s="85">
      <c r="A69" s="52" t="inlineStr">
        <is>
          <t>Whistle</t>
        </is>
      </c>
      <c r="B69" s="53">
        <f>COUNTIF($B$63:$B$158,"Whistle")</f>
        <v/>
      </c>
      <c r="C69" s="54" t="n"/>
      <c r="D69" s="54" t="n"/>
      <c r="E69" s="54" t="n"/>
      <c r="F69" s="55" t="n"/>
      <c r="G69" s="66" t="n"/>
      <c r="H69" s="67" t="n"/>
      <c r="I69" s="67" t="n"/>
      <c r="J69" s="67" t="n"/>
    </row>
    <row r="70" ht="20" customHeight="1" s="85">
      <c r="A70" s="21" t="inlineStr">
        <is>
          <t>All whistles are limited to 1</t>
        </is>
      </c>
      <c r="B70" s="22" t="inlineStr">
        <is>
          <t>Whistle</t>
        </is>
      </c>
      <c r="C70" s="23" t="inlineStr">
        <is>
          <t>Back Court Violation</t>
        </is>
      </c>
      <c r="D70" s="6" t="inlineStr">
        <is>
          <t>Cancel Next Pass. TOV +1. Side-out.</t>
        </is>
      </c>
      <c r="E70" s="7" t="n"/>
      <c r="F70" s="50" t="n">
        <v>1</v>
      </c>
      <c r="G70" s="70" t="inlineStr">
        <is>
          <t>The player who played this whistle chooses, excluding the player who played the pass but including themselves.</t>
        </is>
      </c>
      <c r="H70" s="71" t="n"/>
      <c r="I70" s="71" t="n"/>
      <c r="J70" s="71" t="n"/>
    </row>
    <row r="71" ht="28" customHeight="1" s="85">
      <c r="A71" s="21" t="n"/>
      <c r="B71" s="22" t="inlineStr">
        <is>
          <t>Whistle</t>
        </is>
      </c>
      <c r="C71" s="37" t="inlineStr">
        <is>
          <t>Blocking Foul</t>
        </is>
      </c>
      <c r="D71" s="40" t="inlineStr">
        <is>
          <t>Next Clamp: no effect. Clamped player +1 FT</t>
        </is>
      </c>
      <c r="E71" s="26" t="n"/>
      <c r="F71" s="50" t="n">
        <v>1</v>
      </c>
      <c r="G71" s="72" t="n"/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3" t="inlineStr">
        <is>
          <t>Charge</t>
        </is>
      </c>
      <c r="D72" s="39" t="inlineStr">
        <is>
          <t>Next Dunk: Cancel it. Shooter inbounds</t>
        </is>
      </c>
      <c r="E72" s="7" t="n"/>
      <c r="F72" s="50" t="n">
        <v>1</v>
      </c>
      <c r="G72" s="70" t="n"/>
      <c r="H72" s="71" t="n"/>
      <c r="I72" s="71" t="n"/>
      <c r="J72" s="71" t="n"/>
    </row>
    <row r="73" ht="14" customHeight="1" s="85">
      <c r="A73" s="21" t="n"/>
      <c r="B73" s="22" t="inlineStr">
        <is>
          <t>Whistle</t>
        </is>
      </c>
      <c r="C73" s="24" t="inlineStr">
        <is>
          <t>Cleared to Play</t>
        </is>
      </c>
      <c r="D73" s="25" t="inlineStr">
        <is>
          <t>An Injury turns up: it never lands</t>
        </is>
      </c>
      <c r="E73" s="26" t="n"/>
      <c r="F73" s="50" t="n">
        <v>1</v>
      </c>
      <c r="G73" s="72" t="n"/>
      <c r="H73" s="71" t="n"/>
      <c r="I73" s="71" t="n"/>
      <c r="J73" s="71" t="n"/>
    </row>
    <row r="74" ht="14" customHeight="1" s="85">
      <c r="A74" s="21" t="n"/>
      <c r="B74" s="22" t="inlineStr">
        <is>
          <t>Whistle</t>
        </is>
      </c>
      <c r="C74" s="23" t="inlineStr">
        <is>
          <t>Coach’s Challenge</t>
        </is>
      </c>
      <c r="D74" s="6" t="inlineStr">
        <is>
          <t>Any Whistle Card Played: Cancel card.</t>
        </is>
      </c>
      <c r="E74" s="7" t="inlineStr">
        <is>
          <t>Pull a Timeout from the discards, if one is there, and take it</t>
        </is>
      </c>
      <c r="F74" s="50" t="n"/>
      <c r="G74" s="70" t="n"/>
      <c r="H74" s="71" t="n"/>
      <c r="I74" s="71" t="n"/>
      <c r="J74" s="71" t="n"/>
    </row>
    <row r="75" ht="14" customHeight="1" s="85">
      <c r="A75" s="21" t="n"/>
      <c r="B75" s="22" t="inlineStr">
        <is>
          <t>Whistle</t>
        </is>
      </c>
      <c r="C75" s="37" t="inlineStr">
        <is>
          <t>Delay-of-Game Warning</t>
        </is>
      </c>
      <c r="D75" s="41" t="inlineStr">
        <is>
          <t>Cancel Next Shot-Clock card. 2nd call this round: Take 1 FT</t>
        </is>
      </c>
      <c r="E75" s="25" t="inlineStr">
        <is>
          <t>If 2nd time activated this round: Whistle player takes 1 FT in addition</t>
        </is>
      </c>
      <c r="F75" s="51" t="n">
        <v>1</v>
      </c>
      <c r="G75" s="73" t="inlineStr">
        <is>
          <t>The Shot Clock reduction still applies. Game Breaks do not count — those are game events, not cards the player activates.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3" t="inlineStr">
        <is>
          <t>Double Dribble</t>
        </is>
      </c>
      <c r="D76" s="6" t="inlineStr">
        <is>
          <t>Cancel a Dribble. Discard 1. TOV +1</t>
        </is>
      </c>
      <c r="E76" s="7" t="n"/>
      <c r="F76" s="50" t="n">
        <v>1</v>
      </c>
      <c r="G76" s="70" t="inlineStr">
        <is>
          <t>The dribbling player inbounds. The round is NOT incremented.</t>
        </is>
      </c>
      <c r="H76" s="71" t="n"/>
      <c r="I76" s="71" t="n"/>
      <c r="J76" s="71" t="n"/>
    </row>
    <row r="77" ht="28" customHeight="1" s="85">
      <c r="A77" s="21" t="n"/>
      <c r="B77" s="22" t="inlineStr">
        <is>
          <t>Whistle</t>
        </is>
      </c>
      <c r="C77" s="37" t="inlineStr">
        <is>
          <t>Flagrant Foul</t>
        </is>
      </c>
      <c r="D77" s="41" t="inlineStr">
        <is>
          <t>Next Clamp: no effect. Clamper Discards 1. Clamped player +1 FT and keeps the ball</t>
        </is>
      </c>
      <c r="E77" s="26" t="n"/>
      <c r="F77" s="50" t="n">
        <v>1</v>
      </c>
      <c r="G77" s="72" t="n"/>
      <c r="H77" s="71" t="n"/>
      <c r="I77" s="71" t="n"/>
      <c r="J77" s="71" t="n"/>
    </row>
    <row r="78" ht="28" customHeight="1" s="85">
      <c r="A78" s="21" t="n"/>
      <c r="B78" s="22" t="inlineStr">
        <is>
          <t>Whistle</t>
        </is>
      </c>
      <c r="C78" s="37" t="inlineStr">
        <is>
          <t>Flagrant Foul II</t>
        </is>
      </c>
      <c r="D78" s="38" t="inlineStr">
        <is>
          <t>Next Clamp: no effect. Clamper Discards their bag. Clamped player +1 FT and keeps the ball</t>
        </is>
      </c>
      <c r="E78" s="7" t="n"/>
      <c r="F78" s="50" t="n">
        <v>1</v>
      </c>
      <c r="G78" s="70" t="n"/>
      <c r="H78" s="71" t="n"/>
      <c r="I78" s="71" t="n"/>
      <c r="J78" s="71" t="n"/>
    </row>
    <row r="79" ht="28" customHeight="1" s="85">
      <c r="A79" s="21" t="n"/>
      <c r="B79" s="22" t="inlineStr">
        <is>
          <t>Whistle</t>
        </is>
      </c>
      <c r="C79" s="24" t="inlineStr">
        <is>
          <t>Goaltending</t>
        </is>
      </c>
      <c r="D79" s="25" t="inlineStr">
        <is>
          <t>Next Clamp: Cancel it. Target player +2 PTS. End round</t>
        </is>
      </c>
      <c r="E79" s="26" t="n"/>
      <c r="F79" s="50" t="n">
        <v>1</v>
      </c>
      <c r="G79" s="72" t="n"/>
      <c r="H79" s="71" t="n"/>
      <c r="I79" s="71" t="n"/>
      <c r="J79" s="71" t="n"/>
    </row>
    <row r="80" ht="28" customHeight="1" s="85">
      <c r="A80" s="21" t="n"/>
      <c r="B80" s="22" t="inlineStr">
        <is>
          <t>Whistle</t>
        </is>
      </c>
      <c r="C80" s="23" t="inlineStr">
        <is>
          <t>Inadvertent Whistle</t>
        </is>
      </c>
      <c r="D80" s="38" t="inlineStr">
        <is>
          <t>Any other whistle triggers: Cancel that card. Turn player draws 1 card.</t>
        </is>
      </c>
      <c r="E80" s="7" t="n"/>
      <c r="F80" s="50" t="n"/>
      <c r="G80" s="70" t="n"/>
      <c r="H80" s="71" t="n"/>
      <c r="I80" s="71" t="n"/>
      <c r="J80" s="71" t="n"/>
    </row>
    <row r="81" ht="42" customHeight="1" s="85">
      <c r="A81" s="21" t="n"/>
      <c r="B81" s="22" t="inlineStr">
        <is>
          <t>Whistle</t>
        </is>
      </c>
      <c r="C81" s="24" t="inlineStr">
        <is>
          <t>Official Review</t>
        </is>
      </c>
      <c r="D81" s="41" t="inlineStr">
        <is>
          <t>Next Intangible: Discard all theirs</t>
        </is>
      </c>
      <c r="E81" s="26" t="n"/>
      <c r="F81" s="50" t="n">
        <v>1</v>
      </c>
      <c r="G81" s="72" t="n"/>
      <c r="H81" s="71" t="n"/>
      <c r="I81" s="71" t="n"/>
      <c r="J81" s="71" t="n"/>
    </row>
    <row r="82" ht="28" customHeight="1" s="85">
      <c r="A82" s="21" t="n"/>
      <c r="B82" s="22" t="inlineStr">
        <is>
          <t>Whistle</t>
        </is>
      </c>
      <c r="C82" s="23" t="inlineStr">
        <is>
          <t>Shot Clock Violation</t>
        </is>
      </c>
      <c r="D82" s="38" t="inlineStr">
        <is>
          <t>Shot Clock changes: TOV +1. Side-out.</t>
        </is>
      </c>
      <c r="E82" s="7" t="n"/>
      <c r="F82" s="50" t="n">
        <v>1</v>
      </c>
      <c r="G82" s="70" t="inlineStr">
        <is>
          <t>This inbound does NOT increment the round.</t>
        </is>
      </c>
      <c r="H82" s="71" t="n"/>
      <c r="I82" s="71" t="n"/>
      <c r="J82" s="71" t="n"/>
    </row>
    <row r="83" ht="28" customHeight="1" s="85">
      <c r="A83" s="21" t="n"/>
      <c r="B83" s="22" t="inlineStr">
        <is>
          <t>Whistle</t>
        </is>
      </c>
      <c r="C83" s="24" t="inlineStr">
        <is>
          <t>Technical Foul</t>
        </is>
      </c>
      <c r="D83" s="41" t="inlineStr">
        <is>
          <t>Next Non-Whistle: Cancel it. TOV +1</t>
        </is>
      </c>
      <c r="E83" s="26" t="n"/>
      <c r="F83" s="50" t="n">
        <v>1</v>
      </c>
      <c r="G83" s="72" t="n"/>
      <c r="H83" s="71" t="n"/>
      <c r="I83" s="71" t="n"/>
      <c r="J83" s="71" t="n"/>
    </row>
    <row r="84" ht="28" customHeight="1" s="85">
      <c r="A84" s="21" t="n"/>
      <c r="B84" s="22" t="inlineStr">
        <is>
          <t>Whistle</t>
        </is>
      </c>
      <c r="C84" s="23" t="inlineStr">
        <is>
          <t>Timeout</t>
        </is>
      </c>
      <c r="D84" s="38" t="inlineStr">
        <is>
          <t>Immediate: Reset Shot Clock. You inbound. All players draw 1 card</t>
        </is>
      </c>
      <c r="E84" s="7" t="n"/>
      <c r="F84" s="50" t="n"/>
      <c r="G84" s="70" t="n"/>
      <c r="H84" s="71" t="n"/>
      <c r="I84" s="71" t="n"/>
      <c r="J84" s="71" t="n"/>
    </row>
    <row r="85" ht="28" customHeight="1" s="85">
      <c r="A85" s="21" t="n"/>
      <c r="B85" s="22" t="inlineStr">
        <is>
          <t>Whistle</t>
        </is>
      </c>
      <c r="C85" s="24" t="inlineStr">
        <is>
          <t>Travel</t>
        </is>
      </c>
      <c r="D85" s="25" t="inlineStr">
        <is>
          <t>4th Move this possession: Cancel it. TOV +1. Side-out.</t>
        </is>
      </c>
      <c r="E85" s="26" t="n"/>
      <c r="F85" s="50" t="n">
        <v>1</v>
      </c>
      <c r="G85" s="72" t="n"/>
      <c r="H85" s="71" t="n"/>
      <c r="I85" s="71" t="n"/>
      <c r="J85" s="71" t="n"/>
    </row>
    <row r="86" ht="20" customHeight="1" s="85">
      <c r="A86" s="21" t="n"/>
      <c r="B86" s="22" t="inlineStr">
        <is>
          <t>Whistle</t>
        </is>
      </c>
      <c r="C86" s="24" t="inlineStr">
        <is>
          <t>Clear Path Foul</t>
        </is>
      </c>
      <c r="D86" s="25" t="inlineStr">
        <is>
          <t>Shooting under a SHOT Clamp: Clear them, take the points and 1 FT</t>
        </is>
      </c>
      <c r="E86" s="26" t="n"/>
      <c r="F86" s="50" t="n">
        <v>1</v>
      </c>
      <c r="G86" s="72" t="inlineStr">
        <is>
          <t>Fires as the shot starts, before the cutscene. This DOES count as a completed round.</t>
        </is>
      </c>
      <c r="H86" s="71" t="n"/>
      <c r="I86" s="71" t="n"/>
      <c r="J86" s="71" t="n"/>
    </row>
    <row r="87" ht="28" customHeight="1" s="85">
      <c r="A87" s="21" t="n"/>
      <c r="B87" s="22" t="inlineStr">
        <is>
          <t>Whistle</t>
        </is>
      </c>
      <c r="C87" s="24" t="inlineStr">
        <is>
          <t>Extravagant Mechanics</t>
        </is>
      </c>
      <c r="D87" s="25" t="inlineStr">
        <is>
          <t>On Intangible, Variaball or Special Move play: Cancel it</t>
        </is>
      </c>
      <c r="E87" s="26" t="n"/>
      <c r="F87" s="50" t="n">
        <v>1</v>
      </c>
      <c r="G87" s="72" t="n"/>
      <c r="H87" s="71" t="n"/>
      <c r="I87" s="71" t="n"/>
      <c r="J87" s="71" t="n"/>
    </row>
    <row r="88" ht="20" customHeight="1" s="85">
      <c r="A88" s="27" t="n"/>
      <c r="B88" s="28" t="inlineStr">
        <is>
          <t>Whistle</t>
        </is>
      </c>
      <c r="C88" s="29" t="inlineStr">
        <is>
          <t>Crew Chief Review</t>
        </is>
      </c>
      <c r="D88" s="30" t="inlineStr">
        <is>
          <t>Cancel a pass. The ball comes to you</t>
        </is>
      </c>
      <c r="E88" s="60" t="n"/>
      <c r="F88" s="61" t="n"/>
      <c r="G88" s="78" t="n"/>
      <c r="H88" s="76" t="n"/>
      <c r="I88" s="76" t="n"/>
      <c r="J88" s="76" t="n"/>
    </row>
    <row r="89" ht="42" customHeight="1" s="85">
      <c r="A89" s="27" t="n"/>
      <c r="B89" s="28" t="inlineStr">
        <is>
          <t>Whistle</t>
        </is>
      </c>
      <c r="C89" s="29" t="inlineStr">
        <is>
          <t>Discontinued Dribble</t>
        </is>
      </c>
      <c r="D89" s="30" t="inlineStr">
        <is>
          <t>Player Draws a card: Possession ends. Side-out.</t>
        </is>
      </c>
      <c r="E89" s="60" t="n"/>
      <c r="F89" s="61" t="n">
        <v>1</v>
      </c>
      <c r="G89" s="78" t="n"/>
      <c r="H89" s="76" t="n"/>
      <c r="I89" s="76" t="n"/>
      <c r="J89" s="76" t="n"/>
    </row>
    <row r="90" ht="28" customHeight="1" s="85">
      <c r="A90" s="27" t="n"/>
      <c r="B90" s="28" t="inlineStr">
        <is>
          <t>Whistle</t>
        </is>
      </c>
      <c r="C90" s="29" t="inlineStr">
        <is>
          <t>Tile Tampering</t>
        </is>
      </c>
      <c r="D90" s="30" t="inlineStr">
        <is>
          <t>Varena Played: Cancel card. TOV +1</t>
        </is>
      </c>
      <c r="E90" s="60" t="n"/>
      <c r="F90" s="61" t="n"/>
      <c r="G90" s="78" t="inlineStr">
        <is>
          <t>The Varena's player inbounds (side-out)</t>
        </is>
      </c>
      <c r="H90" s="76" t="n"/>
      <c r="I90" s="76" t="n"/>
      <c r="J90" s="76" t="n"/>
    </row>
    <row r="91" ht="56" customHeight="1" s="85">
      <c r="A91" s="27" t="n"/>
      <c r="B91" s="28" t="inlineStr">
        <is>
          <t>Whistle</t>
        </is>
      </c>
      <c r="C91" s="29" t="inlineStr">
        <is>
          <t>Over-Varing Evidence</t>
        </is>
      </c>
      <c r="D91" s="30" t="inlineStr">
        <is>
          <t>Variaball played: cancel it. TOV +1</t>
        </is>
      </c>
      <c r="E91" s="60" t="n"/>
      <c r="F91" s="61" t="n">
        <v>1</v>
      </c>
      <c r="G91" s="78" t="inlineStr">
        <is>
          <t>The Variaball's player inbounds (side-out)</t>
        </is>
      </c>
      <c r="H91" s="76" t="n"/>
      <c r="I91" s="76" t="n"/>
      <c r="J91" s="76" t="n"/>
    </row>
    <row r="92" ht="42" customHeight="1" s="85">
      <c r="B92" s="28" t="inlineStr">
        <is>
          <t>Whistle</t>
        </is>
      </c>
      <c r="C92" s="29" t="inlineStr">
        <is>
          <t>Foot On The Line</t>
        </is>
      </c>
      <c r="D92" s="30" t="inlineStr">
        <is>
          <t>Next Three scores 2 PTS instead</t>
        </is>
      </c>
      <c r="E92" s="60" t="n"/>
      <c r="F92" s="61" t="n">
        <v>1</v>
      </c>
      <c r="G92" s="78" t="inlineStr">
        <is>
          <t>Crew: watches the Three. Downgrades rather than cancelling</t>
        </is>
      </c>
    </row>
    <row r="93" ht="42" customHeight="1" s="85">
      <c r="B93" s="28" t="inlineStr">
        <is>
          <t>Whistle</t>
        </is>
      </c>
      <c r="C93" s="29" t="inlineStr">
        <is>
          <t>Offensive Foul</t>
        </is>
      </c>
      <c r="D93" s="30" t="inlineStr">
        <is>
          <t>Next Layup: Cancel it. TOV +1</t>
        </is>
      </c>
      <c r="E93" s="60" t="n"/>
      <c r="F93" s="61" t="n">
        <v>1</v>
      </c>
      <c r="G93" s="78" t="inlineStr">
        <is>
          <t>Crew: watches the Layup</t>
        </is>
      </c>
      <c r="H93" s="76" t="n"/>
      <c r="I93" s="76" t="n"/>
      <c r="J93" s="76" t="n"/>
    </row>
    <row r="94" ht="28" customHeight="1" s="85">
      <c r="A94" s="52" t="inlineStr">
        <is>
          <t>Retired Game Breaks</t>
        </is>
      </c>
      <c r="B94" s="53">
        <f>COUNTIF($B$86:$B$115,"Retired Game Break")</f>
        <v/>
      </c>
      <c r="C94" s="54" t="n"/>
      <c r="D94" s="54" t="n"/>
      <c r="E94" s="54" t="n"/>
      <c r="F94" s="55" t="n"/>
      <c r="G94" s="66" t="n"/>
      <c r="H94" s="67" t="n"/>
      <c r="I94" s="67" t="n"/>
      <c r="J94" s="67" t="n"/>
    </row>
    <row r="95" ht="28" customHeight="1" s="85">
      <c r="A95" s="21" t="n"/>
      <c r="B95" s="22" t="inlineStr">
        <is>
          <t>Retired Game Break</t>
        </is>
      </c>
      <c r="C95" s="24" t="inlineStr">
        <is>
          <t>2-Minute Warning</t>
        </is>
      </c>
      <c r="D95" s="25" t="inlineStr">
        <is>
          <t>All players discard down to 2 or fewer cards</t>
        </is>
      </c>
      <c r="E95" s="26" t="n"/>
      <c r="F95" s="33" t="n">
        <v>0</v>
      </c>
      <c r="G95" s="72" t="n"/>
      <c r="H95" s="71" t="n"/>
      <c r="I95" s="71" t="n"/>
      <c r="J95" s="71" t="n"/>
    </row>
    <row r="96" ht="56" customHeight="1" s="85">
      <c r="A96" s="21" t="n"/>
      <c r="B96" s="22" t="inlineStr">
        <is>
          <t>Retired Game Break</t>
        </is>
      </c>
      <c r="C96" s="23" t="inlineStr">
        <is>
          <t>Benched</t>
        </is>
      </c>
      <c r="D96" s="6" t="inlineStr">
        <is>
          <t>Immediately give ball to any other player.</t>
        </is>
      </c>
      <c r="E96" s="7" t="n"/>
      <c r="F96" s="34" t="n">
        <v>0</v>
      </c>
      <c r="G96" s="74" t="inlineStr">
        <is>
          <t>This is not a pass</t>
        </is>
      </c>
      <c r="H96" s="71" t="n"/>
      <c r="I96" s="71" t="n"/>
      <c r="J96" s="71" t="n"/>
    </row>
    <row r="97" ht="56" customHeight="1" s="85">
      <c r="A97" s="21" t="n"/>
      <c r="B97" s="22" t="inlineStr">
        <is>
          <t>Retired Game Break</t>
        </is>
      </c>
      <c r="C97" s="24" t="inlineStr">
        <is>
          <t>Crowd Noise</t>
        </is>
      </c>
      <c r="D97" s="25" t="inlineStr">
        <is>
          <t>Discard 1 card.</t>
        </is>
      </c>
      <c r="E97" s="26" t="n"/>
      <c r="F97" s="33" t="n">
        <v>0</v>
      </c>
      <c r="G97" s="72" t="n"/>
      <c r="H97" s="71" t="n"/>
      <c r="I97" s="71" t="n"/>
      <c r="J97" s="71" t="n"/>
    </row>
    <row r="98" ht="28" customHeight="1" s="85">
      <c r="A98" s="21" t="n"/>
      <c r="B98" s="22" t="inlineStr">
        <is>
          <t>Retired Game Break</t>
        </is>
      </c>
      <c r="C98" s="23" t="inlineStr">
        <is>
          <t>Designed Play</t>
        </is>
      </c>
      <c r="D98" s="6" t="inlineStr">
        <is>
          <t>Draw up to a hand of 5</t>
        </is>
      </c>
      <c r="E98" s="7" t="n"/>
      <c r="F98" s="34" t="n">
        <v>0</v>
      </c>
      <c r="G98" s="70" t="n"/>
      <c r="H98" s="71" t="n"/>
      <c r="I98" s="71" t="n"/>
      <c r="J98" s="71" t="n"/>
    </row>
    <row r="99" ht="42" customHeight="1" s="85">
      <c r="A99" s="21" t="n"/>
      <c r="B99" s="22" t="inlineStr">
        <is>
          <t>Retired Game Break</t>
        </is>
      </c>
      <c r="C99" s="37" t="inlineStr">
        <is>
          <t>Foul</t>
        </is>
      </c>
      <c r="D99" s="25" t="inlineStr">
        <is>
          <t>Take 1 FT</t>
        </is>
      </c>
      <c r="E99" s="26" t="n"/>
      <c r="F99" s="33" t="n">
        <v>0</v>
      </c>
      <c r="G99" s="72" t="n"/>
      <c r="H99" s="71" t="n"/>
      <c r="I99" s="71" t="n"/>
      <c r="J99" s="71" t="n"/>
    </row>
    <row r="100" ht="28" customHeight="1" s="85">
      <c r="A100" s="21" t="n"/>
      <c r="B100" s="22" t="inlineStr">
        <is>
          <t>Retired Game Break</t>
        </is>
      </c>
      <c r="C100" s="23" t="inlineStr">
        <is>
          <t>MVP Vote</t>
        </is>
      </c>
      <c r="D100" s="6" t="inlineStr">
        <is>
          <t>Draw 3 cards up to a hand of 7</t>
        </is>
      </c>
      <c r="E100" s="7" t="n"/>
      <c r="F100" s="34" t="n">
        <v>0</v>
      </c>
      <c r="G100" s="70" t="n"/>
      <c r="H100" s="71" t="n"/>
      <c r="I100" s="71" t="n"/>
      <c r="J100" s="71" t="n"/>
    </row>
    <row r="101" ht="42" customHeight="1" s="85">
      <c r="A101" s="21" t="n"/>
      <c r="B101" s="22" t="inlineStr">
        <is>
          <t>Retired Game Break</t>
        </is>
      </c>
      <c r="C101" s="24" t="inlineStr">
        <is>
          <t>Off Night</t>
        </is>
      </c>
      <c r="D101" s="25" t="inlineStr">
        <is>
          <t>SHOT -20% this possession</t>
        </is>
      </c>
      <c r="E101" s="26" t="n"/>
      <c r="F101" s="33" t="n">
        <v>0</v>
      </c>
      <c r="G101" s="72" t="n"/>
      <c r="H101" s="71" t="n"/>
      <c r="I101" s="71" t="n"/>
      <c r="J101" s="71" t="n"/>
    </row>
    <row r="102" ht="14" customHeight="1" s="85">
      <c r="A102" s="21" t="n"/>
      <c r="B102" s="22" t="inlineStr">
        <is>
          <t>Retired Game Break</t>
        </is>
      </c>
      <c r="C102" s="23" t="inlineStr">
        <is>
          <t>Swallowed Whistle</t>
        </is>
      </c>
      <c r="D102" s="6" t="inlineStr">
        <is>
          <t>Whistle cards cannot activate this turn.</t>
        </is>
      </c>
      <c r="E102" s="6" t="inlineStr">
        <is>
          <t>Remains for remainder of round</t>
        </is>
      </c>
      <c r="F102" s="32" t="n">
        <v>0</v>
      </c>
      <c r="G102" s="70" t="n"/>
      <c r="H102" s="71" t="n"/>
      <c r="I102" s="71" t="n"/>
      <c r="J102" s="71" t="n"/>
    </row>
    <row r="103" ht="14" customHeight="1" s="85">
      <c r="A103" s="21" t="n"/>
      <c r="B103" s="22" t="inlineStr">
        <is>
          <t>Retired Game Break</t>
        </is>
      </c>
      <c r="C103" s="24" t="inlineStr">
        <is>
          <t>Rock Fight</t>
        </is>
      </c>
      <c r="D103" s="25" t="inlineStr">
        <is>
          <t>Players cannot shoot when SHOT is above 50%</t>
        </is>
      </c>
      <c r="E103" s="25" t="inlineStr">
        <is>
          <t>Remains for remainder of round</t>
        </is>
      </c>
      <c r="F103" s="36" t="n">
        <v>0</v>
      </c>
      <c r="G103" s="72" t="n"/>
      <c r="H103" s="71" t="n"/>
      <c r="I103" s="71" t="n"/>
      <c r="J103" s="71" t="n"/>
    </row>
    <row r="104" ht="14" customHeight="1" s="85">
      <c r="A104" s="21" t="n"/>
      <c r="B104" s="22" t="inlineStr">
        <is>
          <t>Retired Game Break</t>
        </is>
      </c>
      <c r="C104" s="23" t="inlineStr">
        <is>
          <t>Traded Mid-Game</t>
        </is>
      </c>
      <c r="D104" s="6" t="inlineStr">
        <is>
          <t>Swap hands with a random other player</t>
        </is>
      </c>
      <c r="E104" s="7" t="n"/>
      <c r="F104" s="34" t="n">
        <v>0</v>
      </c>
      <c r="G104" s="74" t="n"/>
      <c r="H104" s="71" t="n"/>
      <c r="I104" s="71" t="n"/>
      <c r="J104" s="71" t="n"/>
    </row>
    <row r="105" ht="14" customHeight="1" s="85">
      <c r="A105" s="21" t="n"/>
      <c r="B105" s="22" t="inlineStr">
        <is>
          <t>Retired Game Break</t>
        </is>
      </c>
      <c r="C105" s="49" t="inlineStr">
        <is>
          <t>Salary Cap Increase</t>
        </is>
      </c>
      <c r="D105" s="38" t="inlineStr">
        <is>
          <t>All players draw 2 cards</t>
        </is>
      </c>
      <c r="E105" s="7" t="n"/>
      <c r="F105" s="34" t="n">
        <v>0</v>
      </c>
      <c r="G105" s="74" t="n"/>
      <c r="H105" s="71" t="n"/>
      <c r="I105" s="71" t="n"/>
      <c r="J105" s="71" t="n"/>
    </row>
    <row r="106" ht="14" customHeight="1" s="85">
      <c r="A106" s="21" t="n"/>
      <c r="B106" s="22" t="inlineStr">
        <is>
          <t>Retired Game Break</t>
        </is>
      </c>
      <c r="C106" s="49" t="inlineStr">
        <is>
          <t>All-Swissh Selection</t>
        </is>
      </c>
      <c r="D106" s="38" t="inlineStr">
        <is>
          <t>Draw 3 cards after your next make</t>
        </is>
      </c>
      <c r="E106" s="7" t="n"/>
      <c r="F106" s="34" t="n">
        <v>0</v>
      </c>
      <c r="G106" s="74" t="inlineStr">
        <is>
          <t>Arms an icon in the HUD tracking the pending draws</t>
        </is>
      </c>
      <c r="H106" s="71" t="n"/>
      <c r="I106" s="71" t="n"/>
      <c r="J106" s="71" t="n"/>
    </row>
    <row r="107" ht="14" customHeight="1" s="85">
      <c r="A107" s="21" t="n"/>
      <c r="B107" s="22" t="inlineStr">
        <is>
          <t>Retired Game Break</t>
        </is>
      </c>
      <c r="C107" s="49" t="inlineStr">
        <is>
          <t>All Star Selection</t>
        </is>
      </c>
      <c r="D107" s="38" t="inlineStr">
        <is>
          <t>Draw 2 cards</t>
        </is>
      </c>
      <c r="E107" s="7" t="n"/>
      <c r="F107" s="34" t="n">
        <v>0</v>
      </c>
      <c r="G107" s="74" t="n"/>
      <c r="H107" s="71" t="n"/>
      <c r="I107" s="71" t="n"/>
      <c r="J107" s="71" t="n"/>
    </row>
    <row r="108" ht="14" customHeight="1" s="85">
      <c r="A108" s="21" t="n"/>
      <c r="B108" s="22" t="inlineStr">
        <is>
          <t>Retired Game Break</t>
        </is>
      </c>
      <c r="C108" s="49" t="inlineStr">
        <is>
          <t>Hit the Bike</t>
        </is>
      </c>
      <c r="D108" s="38" t="inlineStr">
        <is>
          <t>Discard all Injuries. Draw 1 card. Give possession to another player</t>
        </is>
      </c>
      <c r="E108" s="7" t="n"/>
      <c r="F108" s="34" t="n">
        <v>0</v>
      </c>
      <c r="G108" s="74" t="inlineStr">
        <is>
          <t>This is not a pass</t>
        </is>
      </c>
      <c r="H108" s="71" t="n"/>
      <c r="I108" s="71" t="n"/>
      <c r="J108" s="71" t="n"/>
    </row>
    <row r="109" ht="14" customHeight="1" s="85">
      <c r="A109" s="21" t="n"/>
      <c r="B109" s="22" t="inlineStr">
        <is>
          <t>Retired Game Break</t>
        </is>
      </c>
      <c r="C109" s="49" t="inlineStr">
        <is>
          <t>Ice Wrap</t>
        </is>
      </c>
      <c r="D109" s="38" t="inlineStr">
        <is>
          <t>Draw 1 card. Discard all Injuries. If none, draw 1 additional card</t>
        </is>
      </c>
      <c r="E109" s="7" t="n"/>
      <c r="F109" s="34" t="n">
        <v>0</v>
      </c>
      <c r="G109" s="74" t="n"/>
      <c r="H109" s="71" t="n"/>
      <c r="I109" s="71" t="n"/>
      <c r="J109" s="71" t="n"/>
    </row>
    <row r="110" ht="14" customHeight="1" s="85">
      <c r="A110" s="21" t="n"/>
      <c r="B110" s="22" t="inlineStr">
        <is>
          <t>Retired Game Break</t>
        </is>
      </c>
      <c r="C110" s="49" t="inlineStr">
        <is>
          <t>Wet Spot</t>
        </is>
      </c>
      <c r="D110" s="38" t="inlineStr">
        <is>
          <t>All Injuries in the discards and deck are displayed. Take one</t>
        </is>
      </c>
      <c r="E110" s="7" t="n"/>
      <c r="F110" s="34" t="n">
        <v>0</v>
      </c>
      <c r="G110" s="74" t="inlineStr">
        <is>
          <t>Deck ones are shown face down</t>
        </is>
      </c>
      <c r="H110" s="71" t="n"/>
      <c r="I110" s="71" t="n"/>
      <c r="J110" s="71" t="n"/>
    </row>
    <row r="111" ht="28" customHeight="1" s="85">
      <c r="A111" s="21" t="n"/>
      <c r="B111" s="22" t="inlineStr">
        <is>
          <t>Retired Game Break</t>
        </is>
      </c>
      <c r="C111" s="49" t="inlineStr">
        <is>
          <t>Fresh Ball</t>
        </is>
      </c>
      <c r="D111" s="38" t="inlineStr">
        <is>
          <t>Next player does not draw at the start of their possession</t>
        </is>
      </c>
      <c r="E111" s="7" t="n"/>
      <c r="F111" s="34" t="n">
        <v>0</v>
      </c>
      <c r="G111" s="74" t="inlineStr">
        <is>
          <t>This is a bad thing in the NBA</t>
        </is>
      </c>
      <c r="H111" s="71" t="n"/>
      <c r="I111" s="71" t="n"/>
      <c r="J111" s="71" t="n"/>
    </row>
    <row r="112" ht="28" customHeight="1" s="85">
      <c r="A112" s="21" t="n"/>
      <c r="B112" s="22" t="inlineStr">
        <is>
          <t>Retired Game Break</t>
        </is>
      </c>
      <c r="C112" s="49" t="inlineStr">
        <is>
          <t>Trade Deadline</t>
        </is>
      </c>
      <c r="D112" s="38" t="inlineStr">
        <is>
          <t>Declare Left or Right: every player passes their hand that way. The ball goes with it</t>
        </is>
      </c>
      <c r="E112" s="7" t="n"/>
      <c r="F112" s="34" t="n">
        <v>0</v>
      </c>
      <c r="G112" s="74" t="inlineStr">
        <is>
          <t>The hex travels in the declared direction too</t>
        </is>
      </c>
      <c r="H112" s="71" t="n"/>
      <c r="I112" s="71" t="n"/>
      <c r="J112" s="71" t="n"/>
    </row>
    <row r="113" ht="28" customHeight="1" s="85">
      <c r="A113" s="21" t="n"/>
      <c r="B113" s="22" t="inlineStr">
        <is>
          <t>Retired Game Break</t>
        </is>
      </c>
      <c r="C113" s="49" t="inlineStr">
        <is>
          <t>Floor Cleanup</t>
        </is>
      </c>
      <c r="D113" s="38" t="inlineStr">
        <is>
          <t>All players shuffle their hands into the deck and draw the same number of cards</t>
        </is>
      </c>
      <c r="E113" s="7" t="n"/>
      <c r="F113" s="34" t="n">
        <v>0</v>
      </c>
      <c r="G113" s="74" t="n"/>
      <c r="H113" s="71" t="n"/>
      <c r="I113" s="71" t="n"/>
      <c r="J113" s="71" t="n"/>
    </row>
    <row r="114" ht="28" customHeight="1" s="85">
      <c r="A114" s="21" t="n"/>
      <c r="B114" s="22" t="inlineStr">
        <is>
          <t>Retired Game Break</t>
        </is>
      </c>
      <c r="C114" s="49" t="inlineStr">
        <is>
          <t>Official Timeout</t>
        </is>
      </c>
      <c r="D114" s="38" t="inlineStr">
        <is>
          <t>At least 1 referee must be armed: discard all Injuries on all players and clear all referees. If none, all players draw 1 card</t>
        </is>
      </c>
      <c r="E114" s="7" t="n"/>
      <c r="F114" s="34" t="n">
        <v>0</v>
      </c>
      <c r="G114" s="74" t="n"/>
      <c r="H114" s="71" t="n"/>
      <c r="I114" s="71" t="n"/>
      <c r="J114" s="71" t="n"/>
    </row>
    <row r="115" ht="42" customHeight="1" s="85">
      <c r="A115" s="21" t="n"/>
      <c r="B115" s="22" t="inlineStr">
        <is>
          <t>Retired Game Break</t>
        </is>
      </c>
      <c r="C115" s="49" t="inlineStr">
        <is>
          <t>Team Doctor</t>
        </is>
      </c>
      <c r="D115" s="38" t="inlineStr">
        <is>
          <t>Discard 1 Injury from a player of choice. Draw 2 cards if not choosing yourself</t>
        </is>
      </c>
      <c r="E115" s="7" t="n"/>
      <c r="F115" s="34" t="n">
        <v>0</v>
      </c>
      <c r="G115" s="74" t="n"/>
      <c r="H115" s="71" t="n"/>
      <c r="I115" s="71" t="n"/>
      <c r="J115" s="71" t="n"/>
    </row>
    <row r="116" ht="56" customHeight="1" s="85">
      <c r="A116" s="21" t="n"/>
      <c r="B116" s="22" t="inlineStr">
        <is>
          <t>Retired Game Break</t>
        </is>
      </c>
      <c r="C116" s="49" t="inlineStr">
        <is>
          <t>Altercation</t>
        </is>
      </c>
      <c r="D116" s="38" t="inlineStr">
        <is>
          <t>Select another player: you and that player each discard 1 card at random. Inbound the ball to a player other than that target</t>
        </is>
      </c>
      <c r="E116" s="7" t="n"/>
      <c r="F116" s="34" t="n">
        <v>0</v>
      </c>
      <c r="G116" s="74" t="n"/>
      <c r="H116" s="71" t="n"/>
      <c r="I116" s="71" t="n"/>
      <c r="J116" s="71" t="n"/>
    </row>
    <row r="117" ht="57" customHeight="1" s="85">
      <c r="A117" s="21" t="n"/>
      <c r="B117" s="22" t="inlineStr">
        <is>
          <t>Retired Game Break</t>
        </is>
      </c>
      <c r="C117" s="49" t="inlineStr">
        <is>
          <t>Huge Altercation</t>
        </is>
      </c>
      <c r="D117" s="38" t="inlineStr">
        <is>
          <t>All players discard their hands. If a ref is armed, all players receive 1 TOV. Inbound the ball</t>
        </is>
      </c>
      <c r="E117" s="7" t="n"/>
      <c r="F117" s="34" t="n">
        <v>0</v>
      </c>
      <c r="G117" s="74" t="n"/>
      <c r="H117" s="71" t="n"/>
      <c r="I117" s="71" t="n"/>
      <c r="J117" s="71" t="n"/>
    </row>
    <row r="118" ht="57" customHeight="1" s="85">
      <c r="A118" s="21" t="n"/>
      <c r="B118" s="22" t="inlineStr">
        <is>
          <t>Retired Game Break</t>
        </is>
      </c>
      <c r="C118" s="49" t="inlineStr">
        <is>
          <t>Home Court Advantage</t>
        </is>
      </c>
      <c r="D118" s="38" t="inlineStr">
        <is>
          <t>SHOT + 25%</t>
        </is>
      </c>
      <c r="E118" s="7" t="n"/>
      <c r="F118" s="34" t="n">
        <v>0</v>
      </c>
      <c r="G118" s="74" t="n"/>
      <c r="H118" s="71" t="n"/>
      <c r="I118" s="71" t="n"/>
      <c r="J118" s="71" t="n"/>
    </row>
    <row r="119" ht="57" customHeight="1" s="85">
      <c r="A119" s="21" t="n"/>
      <c r="B119" s="22" t="inlineStr">
        <is>
          <t>Retired Game Break</t>
        </is>
      </c>
      <c r="C119" s="49" t="inlineStr">
        <is>
          <t>Away Game</t>
        </is>
      </c>
      <c r="D119" s="38" t="inlineStr">
        <is>
          <t>SHOT - 10%</t>
        </is>
      </c>
      <c r="E119" s="7" t="n"/>
      <c r="F119" s="34" t="n">
        <v>0</v>
      </c>
      <c r="G119" s="74" t="n"/>
      <c r="H119" s="71" t="n"/>
      <c r="I119" s="71" t="n"/>
      <c r="J119" s="71" t="n"/>
    </row>
    <row r="120" ht="57" customHeight="1" s="85">
      <c r="A120" s="21" t="n"/>
      <c r="B120" s="22" t="inlineStr">
        <is>
          <t>Retired Game Break</t>
        </is>
      </c>
      <c r="C120" s="49" t="inlineStr">
        <is>
          <t>Mic'd Up</t>
        </is>
      </c>
      <c r="D120" s="38" t="inlineStr">
        <is>
          <t>SHOT + 10% until passed or shot</t>
        </is>
      </c>
      <c r="E120" s="7" t="n"/>
      <c r="F120" s="34" t="n">
        <v>0</v>
      </c>
      <c r="G120" s="74" t="inlineStr">
        <is>
          <t>The boost is the holder's alone and does not travel with a pass</t>
        </is>
      </c>
      <c r="H120" s="71" t="n"/>
      <c r="I120" s="71" t="n"/>
      <c r="J120" s="71" t="n"/>
    </row>
    <row r="121" ht="57" customHeight="1" s="85">
      <c r="A121" s="21" t="n"/>
      <c r="B121" s="22" t="inlineStr">
        <is>
          <t>Retired Game Break</t>
        </is>
      </c>
      <c r="C121" s="49" t="inlineStr">
        <is>
          <t>In The Zone</t>
        </is>
      </c>
      <c r="D121" s="38" t="inlineStr">
        <is>
          <t>Draw 1 card for each 10% SHOT the ball has, rounded down. Minimum 1</t>
        </is>
      </c>
      <c r="E121" s="7" t="n"/>
      <c r="F121" s="34" t="n">
        <v>0</v>
      </c>
      <c r="G121" s="74" t="n"/>
      <c r="H121" s="71" t="n"/>
      <c r="I121" s="71" t="n"/>
      <c r="J121" s="71" t="n"/>
    </row>
    <row r="122" ht="57" customHeight="1" s="85">
      <c r="A122" s="21" t="n"/>
      <c r="B122" s="22" t="inlineStr">
        <is>
          <t>Retired Game Break</t>
        </is>
      </c>
      <c r="C122" s="49" t="inlineStr">
        <is>
          <t>Role Player</t>
        </is>
      </c>
      <c r="D122" s="38" t="inlineStr">
        <is>
          <t>All other players draw 1 card</t>
        </is>
      </c>
      <c r="E122" s="7" t="n"/>
      <c r="F122" s="34" t="n">
        <v>0</v>
      </c>
      <c r="G122" s="74" t="n"/>
      <c r="H122" s="71" t="n"/>
      <c r="I122" s="71" t="n"/>
      <c r="J122" s="71" t="n"/>
    </row>
    <row r="123" ht="20" customHeight="1" s="85">
      <c r="A123" s="27" t="n"/>
      <c r="B123" s="28" t="inlineStr">
        <is>
          <t>Retired Game Break</t>
        </is>
      </c>
      <c r="C123" s="62" t="inlineStr">
        <is>
          <t>Back-and-Forth Game</t>
        </is>
      </c>
      <c r="D123" s="63" t="inlineStr">
        <is>
          <t>Discard the next 3 Game Breaks. Whoever draws one draws again</t>
        </is>
      </c>
      <c r="E123" s="58" t="n"/>
      <c r="F123" s="59" t="n">
        <v>0</v>
      </c>
      <c r="G123" s="79" t="n"/>
      <c r="H123" s="76" t="n"/>
      <c r="I123" s="76" t="n"/>
      <c r="J123" s="76" t="n"/>
    </row>
    <row r="124" ht="28" customHeight="1" s="85">
      <c r="A124" s="27" t="n"/>
      <c r="B124" s="28" t="inlineStr">
        <is>
          <t>Retired Game Break</t>
        </is>
      </c>
      <c r="C124" s="62" t="inlineStr">
        <is>
          <t>Off the Backboard</t>
        </is>
      </c>
      <c r="D124" s="63" t="inlineStr">
        <is>
          <t>Your next missed shot rebounds itself</t>
        </is>
      </c>
      <c r="E124" s="58" t="n"/>
      <c r="F124" s="59" t="n">
        <v>0</v>
      </c>
      <c r="G124" s="79" t="n"/>
      <c r="H124" s="76" t="n"/>
      <c r="I124" s="76" t="n"/>
      <c r="J124" s="76" t="n"/>
    </row>
    <row r="125" ht="28" customHeight="1" s="85">
      <c r="A125" s="52" t="inlineStr">
        <is>
          <t>Injury</t>
        </is>
      </c>
      <c r="B125" s="53">
        <f>COUNTIF($B$117:$B$158,"Injury")</f>
        <v/>
      </c>
      <c r="C125" s="54" t="n"/>
      <c r="D125" s="54" t="n"/>
      <c r="E125" s="54" t="n"/>
      <c r="F125" s="55" t="n"/>
      <c r="G125" s="66" t="n"/>
      <c r="H125" s="67" t="n"/>
      <c r="I125" s="67" t="n"/>
      <c r="J125" s="67" t="n"/>
    </row>
    <row r="126" ht="28" customHeight="1" s="85">
      <c r="A126" s="27" t="n"/>
      <c r="B126" s="28" t="inlineStr">
        <is>
          <t>Injury</t>
        </is>
      </c>
      <c r="C126" s="56" t="inlineStr">
        <is>
          <t>Bone Bruise</t>
        </is>
      </c>
      <c r="D126" s="63" t="inlineStr">
        <is>
          <t>SHOT -10%</t>
        </is>
      </c>
      <c r="E126" s="58" t="n"/>
      <c r="F126" s="59" t="n">
        <v>0</v>
      </c>
      <c r="G126" s="75" t="inlineStr">
        <is>
          <t>Parked while the knocks are redesigned</t>
        </is>
      </c>
      <c r="H126" s="76" t="n"/>
      <c r="I126" s="76" t="n"/>
      <c r="J126" s="76" t="n"/>
    </row>
    <row r="127" ht="28" customHeight="1" s="85">
      <c r="A127" s="27" t="n"/>
      <c r="B127" s="28" t="inlineStr">
        <is>
          <t>Injury</t>
        </is>
      </c>
      <c r="C127" s="56" t="inlineStr">
        <is>
          <t>Rolled Ankle</t>
        </is>
      </c>
      <c r="D127" s="63" t="inlineStr">
        <is>
          <t>Discard 1 card to play a Move card</t>
        </is>
      </c>
      <c r="E127" s="58" t="n"/>
      <c r="F127" s="59" t="n">
        <v>0</v>
      </c>
      <c r="G127" s="75" t="inlineStr">
        <is>
          <t>Parked while the knocks are redesigned</t>
        </is>
      </c>
      <c r="H127" s="76" t="n"/>
      <c r="I127" s="76" t="n"/>
      <c r="J127" s="76" t="n"/>
    </row>
    <row r="128" ht="42" customHeight="1" s="85">
      <c r="A128" s="27" t="n"/>
      <c r="B128" s="28" t="inlineStr">
        <is>
          <t>Injury</t>
        </is>
      </c>
      <c r="C128" s="56" t="inlineStr">
        <is>
          <t>Fractured Collarbone</t>
        </is>
      </c>
      <c r="D128" s="63" t="inlineStr">
        <is>
          <t>Cannot attempt Three-point shots</t>
        </is>
      </c>
      <c r="E128" s="58" t="n"/>
      <c r="F128" s="59" t="n">
        <v>0</v>
      </c>
      <c r="G128" s="75" t="inlineStr">
        <is>
          <t>Parked while the knocks are redesigned</t>
        </is>
      </c>
      <c r="H128" s="76" t="n"/>
      <c r="I128" s="76" t="n"/>
      <c r="J128" s="76" t="n"/>
    </row>
    <row r="129" ht="28" customHeight="1" s="85">
      <c r="A129" s="27" t="n"/>
      <c r="B129" s="28" t="inlineStr">
        <is>
          <t>Injury</t>
        </is>
      </c>
      <c r="C129" s="56" t="inlineStr">
        <is>
          <t>Jammed Finger</t>
        </is>
      </c>
      <c r="D129" s="63" t="inlineStr">
        <is>
          <t>Discard 1 card at random while receiving a Pass</t>
        </is>
      </c>
      <c r="E129" s="58" t="n"/>
      <c r="F129" s="59" t="n">
        <v>0</v>
      </c>
      <c r="G129" s="75" t="inlineStr">
        <is>
          <t>Parked while the knocks are redesigned</t>
        </is>
      </c>
      <c r="H129" s="76" t="n"/>
      <c r="I129" s="76" t="n"/>
      <c r="J129" s="76" t="n"/>
    </row>
    <row r="130" ht="28" customHeight="1" s="85">
      <c r="A130" s="27" t="n"/>
      <c r="B130" s="28" t="inlineStr">
        <is>
          <t>Injury</t>
        </is>
      </c>
      <c r="C130" s="56" t="inlineStr">
        <is>
          <t>Sprained Hamstring</t>
        </is>
      </c>
      <c r="D130" s="63" t="inlineStr">
        <is>
          <t>Your Rebound Bids are worth 1 less</t>
        </is>
      </c>
      <c r="E130" s="58" t="n"/>
      <c r="F130" s="59" t="n">
        <v>0</v>
      </c>
      <c r="G130" s="75" t="inlineStr">
        <is>
          <t>Parked while the knocks are redesigned</t>
        </is>
      </c>
      <c r="H130" s="76" t="n"/>
      <c r="I130" s="76" t="n"/>
      <c r="J130" s="76" t="n"/>
    </row>
    <row r="131" ht="56" customHeight="1" s="85">
      <c r="A131" s="27" t="n"/>
      <c r="B131" s="28" t="inlineStr">
        <is>
          <t>Injury</t>
        </is>
      </c>
      <c r="C131" s="56" t="inlineStr">
        <is>
          <t>Hip Contusion</t>
        </is>
      </c>
      <c r="D131" s="63" t="inlineStr">
        <is>
          <t>Discard 1 card at random when playing a Pass card</t>
        </is>
      </c>
      <c r="E131" s="58" t="n"/>
      <c r="F131" s="59" t="n">
        <v>0</v>
      </c>
      <c r="G131" s="75" t="inlineStr">
        <is>
          <t>Parked while the knocks are redesigned</t>
        </is>
      </c>
      <c r="H131" s="76" t="n"/>
      <c r="I131" s="76" t="n"/>
      <c r="J131" s="76" t="n"/>
    </row>
    <row r="132" ht="56" customHeight="1" s="85">
      <c r="A132" s="52" t="inlineStr">
        <is>
          <t>Devastating Injury</t>
        </is>
      </c>
      <c r="B132" s="53">
        <f>COUNTIF($B$124:$B$158,"Devastating Injury")</f>
        <v/>
      </c>
      <c r="C132" s="54" t="n"/>
      <c r="D132" s="54" t="n"/>
      <c r="E132" s="54" t="n"/>
      <c r="F132" s="55" t="n"/>
      <c r="G132" s="66" t="n"/>
      <c r="H132" s="67" t="n"/>
      <c r="I132" s="67" t="n"/>
      <c r="J132" s="67" t="n"/>
    </row>
    <row r="133" ht="28" customHeight="1" s="85">
      <c r="A133" s="27" t="n"/>
      <c r="B133" s="28" t="inlineStr">
        <is>
          <t>Devastating Injury</t>
        </is>
      </c>
      <c r="C133" s="64" t="inlineStr">
        <is>
          <t>Torn Achilles</t>
        </is>
      </c>
      <c r="D133" s="65" t="inlineStr">
        <is>
          <t>Cannot Play Dunk Cards. Can only play 1 Move card per possession</t>
        </is>
      </c>
      <c r="E133" s="58" t="n"/>
      <c r="F133" s="61" t="n">
        <v>0</v>
      </c>
      <c r="G133" s="75" t="inlineStr">
        <is>
          <t>Landing one discards every other Injury, and while one is on you a new Injury is discarded · Parked while the knocks are redesigned</t>
        </is>
      </c>
      <c r="H133" s="76" t="n"/>
      <c r="I133" s="76" t="n"/>
      <c r="J133" s="76" t="n"/>
    </row>
    <row r="134" ht="28" customHeight="1" s="85">
      <c r="A134" s="27" t="n"/>
      <c r="B134" s="28" t="inlineStr">
        <is>
          <t>Devastating Injury</t>
        </is>
      </c>
      <c r="C134" s="64" t="inlineStr">
        <is>
          <t>Torn ACL</t>
        </is>
      </c>
      <c r="D134" s="65" t="inlineStr">
        <is>
          <t>Cannot Play Move Cards.</t>
        </is>
      </c>
      <c r="E134" s="58" t="n"/>
      <c r="F134" s="61" t="n">
        <v>0</v>
      </c>
      <c r="G134" s="75" t="inlineStr">
        <is>
          <t>Parked while the knocks are redesigned</t>
        </is>
      </c>
      <c r="H134" s="76" t="n"/>
      <c r="I134" s="76" t="n"/>
      <c r="J134" s="76" t="n"/>
    </row>
    <row r="135" ht="28" customHeight="1" s="85">
      <c r="A135" s="27" t="n"/>
      <c r="B135" s="28" t="inlineStr">
        <is>
          <t>Devastating Injury</t>
        </is>
      </c>
      <c r="C135" s="64" t="inlineStr">
        <is>
          <t>Torn Meniscus</t>
        </is>
      </c>
      <c r="D135" s="65" t="inlineStr">
        <is>
          <t>Randomly Lock all but 1 Card Each Possession</t>
        </is>
      </c>
      <c r="E135" s="58" t="n"/>
      <c r="F135" s="61" t="n">
        <v>0</v>
      </c>
      <c r="G135" s="75" t="inlineStr">
        <is>
          <t>Parked while the knocks are redesigned</t>
        </is>
      </c>
      <c r="H135" s="76" t="n"/>
      <c r="I135" s="76" t="n"/>
      <c r="J135" s="76" t="n"/>
    </row>
    <row r="136" ht="28" customHeight="1" s="85">
      <c r="A136" s="27" t="n"/>
      <c r="B136" s="28" t="inlineStr">
        <is>
          <t>Devastating Injury</t>
        </is>
      </c>
      <c r="C136" s="64" t="inlineStr">
        <is>
          <t>Patellar Tendon Tear</t>
        </is>
      </c>
      <c r="D136" s="65" t="inlineStr">
        <is>
          <t>Cannot Draw Cards except at the start of your possession</t>
        </is>
      </c>
      <c r="E136" s="58" t="n"/>
      <c r="F136" s="61" t="n">
        <v>0</v>
      </c>
      <c r="G136" s="75" t="inlineStr">
        <is>
          <t>Parked while the knocks are redesigned</t>
        </is>
      </c>
      <c r="H136" s="76" t="n"/>
      <c r="I136" s="76" t="n"/>
      <c r="J136" s="76" t="n"/>
    </row>
    <row r="137" ht="14" customHeight="1" s="85">
      <c r="A137" s="52" t="inlineStr">
        <is>
          <t>Intangible</t>
        </is>
      </c>
      <c r="B137" s="53">
        <f>COUNTIF($B$129:$B$158,"Intangible")</f>
        <v/>
      </c>
      <c r="C137" s="54" t="n"/>
      <c r="D137" s="54" t="n"/>
      <c r="E137" s="54" t="n"/>
      <c r="F137" s="55" t="n"/>
      <c r="G137" s="66" t="n"/>
      <c r="H137" s="67" t="n"/>
      <c r="I137" s="67" t="n"/>
      <c r="J137" s="67" t="n"/>
    </row>
    <row r="138" ht="28" customHeight="1" s="85">
      <c r="A138" s="42" t="inlineStr">
        <is>
          <t>All intangibles are limited to 1</t>
        </is>
      </c>
      <c r="B138" s="22" t="inlineStr">
        <is>
          <t>Intangible</t>
        </is>
      </c>
      <c r="C138" s="23" t="inlineStr">
        <is>
          <t>Board-Crasher</t>
        </is>
      </c>
      <c r="D138" s="6" t="inlineStr">
        <is>
          <t>SHOT +25% when shooting as your first action after a Rebound of your own miss.</t>
        </is>
      </c>
      <c r="E138" s="7" t="n"/>
      <c r="F138" s="50" t="n">
        <v>1</v>
      </c>
      <c r="G138" s="70" t="n"/>
      <c r="H138" s="71" t="n"/>
      <c r="I138" s="71" t="n"/>
      <c r="J138" s="71" t="n"/>
    </row>
    <row r="139" ht="28" customHeight="1" s="85">
      <c r="A139" s="21" t="n"/>
      <c r="B139" s="22" t="inlineStr">
        <is>
          <t>Intangible</t>
        </is>
      </c>
      <c r="C139" s="24" t="inlineStr">
        <is>
          <t>Catch &amp; Shoot Specialist</t>
        </is>
      </c>
      <c r="D139" s="25" t="inlineStr">
        <is>
          <t>SHOT +25% when shooting as your first action after a Pass</t>
        </is>
      </c>
      <c r="E139" s="26" t="n"/>
      <c r="F139" s="50" t="n">
        <v>1</v>
      </c>
      <c r="G139" s="72" t="n"/>
      <c r="H139" s="71" t="n"/>
      <c r="I139" s="71" t="n"/>
      <c r="J139" s="71" t="n"/>
    </row>
    <row r="140" ht="28" customHeight="1" s="85">
      <c r="A140" s="21" t="n"/>
      <c r="B140" s="22" t="inlineStr">
        <is>
          <t>Intangible</t>
        </is>
      </c>
      <c r="C140" s="23" t="inlineStr">
        <is>
          <t>Clutch Gene</t>
        </is>
      </c>
      <c r="D140" s="6" t="inlineStr">
        <is>
          <t>SHOT = $[2X] if you have 1 card or fewer in hand, or the Shot Clock is 03 or less</t>
        </is>
      </c>
      <c r="E140" s="7" t="n"/>
      <c r="F140" s="50" t="n">
        <v>1</v>
      </c>
      <c r="G140" s="70" t="n"/>
      <c r="H140" s="71" t="n"/>
      <c r="I140" s="71" t="n"/>
      <c r="J140" s="71" t="n"/>
    </row>
    <row r="141" ht="28" customHeight="1" s="85">
      <c r="B141" s="0" t="inlineStr">
        <is>
          <t>Intangible</t>
        </is>
      </c>
      <c r="C141" s="0" t="inlineStr">
        <is>
          <t>Roswell Reach</t>
        </is>
      </c>
      <c r="D141" s="0" t="inlineStr">
        <is>
          <t>Every Rebound bid you make counts as one card more</t>
        </is>
      </c>
      <c r="F141" s="0" t="n">
        <v>1</v>
      </c>
    </row>
    <row r="142" ht="28" customHeight="1" s="85">
      <c r="A142" s="21" t="n"/>
      <c r="B142" s="22" t="inlineStr">
        <is>
          <t>Intangible</t>
        </is>
      </c>
      <c r="C142" s="24" t="inlineStr">
        <is>
          <t>Floor General</t>
        </is>
      </c>
      <c r="D142" s="25" t="inlineStr">
        <is>
          <t>You name every target on the floor</t>
        </is>
      </c>
      <c r="E142" s="26" t="n"/>
      <c r="F142" s="50" t="n">
        <v>1</v>
      </c>
      <c r="G142" s="72" t="n"/>
      <c r="H142" s="71" t="n"/>
      <c r="I142" s="71" t="n"/>
      <c r="J142" s="71" t="n"/>
    </row>
    <row r="143" ht="56" customHeight="1" s="85">
      <c r="A143" s="21" t="n"/>
      <c r="B143" s="22" t="inlineStr">
        <is>
          <t>Intangible</t>
        </is>
      </c>
      <c r="C143" s="23" t="inlineStr">
        <is>
          <t>Southpaw Shooter</t>
        </is>
      </c>
      <c r="D143" s="6" t="inlineStr">
        <is>
          <t>SHOT gains and losses are reversed</t>
        </is>
      </c>
      <c r="E143" s="6" t="n"/>
      <c r="F143" s="51" t="n">
        <v>1</v>
      </c>
      <c r="G143" s="70" t="n"/>
      <c r="H143" s="71" t="n"/>
      <c r="I143" s="71" t="n"/>
      <c r="J143" s="71" t="n"/>
    </row>
    <row r="144" ht="56" customHeight="1" s="85">
      <c r="A144" s="21" t="n"/>
      <c r="B144" s="22" t="inlineStr">
        <is>
          <t>Intangible</t>
        </is>
      </c>
      <c r="C144" s="37" t="inlineStr">
        <is>
          <t>Freethrow Merchant</t>
        </is>
      </c>
      <c r="D144" s="41" t="inlineStr">
        <is>
          <t>Any Clamp on you becomes "Take 1 FT"</t>
        </is>
      </c>
      <c r="E144" s="26" t="n"/>
      <c r="F144" s="50" t="n">
        <v>1</v>
      </c>
      <c r="G144" s="77" t="n"/>
      <c r="H144" s="71" t="n"/>
      <c r="I144" s="71" t="n"/>
      <c r="J144" s="71" t="n"/>
    </row>
    <row r="145" ht="56" customHeight="1" s="85">
      <c r="A145" s="21" t="n"/>
      <c r="B145" s="22" t="inlineStr">
        <is>
          <t>Intangible</t>
        </is>
      </c>
      <c r="C145" s="37" t="inlineStr">
        <is>
          <t>Generational Whistle</t>
        </is>
      </c>
      <c r="D145" s="38" t="inlineStr">
        <is>
          <t>Take 1 additional FT</t>
        </is>
      </c>
      <c r="E145" s="7" t="n"/>
      <c r="F145" s="50" t="n">
        <v>1</v>
      </c>
      <c r="G145" s="70" t="n"/>
      <c r="H145" s="71" t="n"/>
      <c r="I145" s="71" t="n"/>
      <c r="J145" s="71" t="n"/>
    </row>
    <row r="146" ht="56" customHeight="1" s="85">
      <c r="A146" s="21" t="n"/>
      <c r="B146" s="22" t="inlineStr">
        <is>
          <t>Intangible</t>
        </is>
      </c>
      <c r="C146" s="24" t="inlineStr">
        <is>
          <t>Gravity</t>
        </is>
      </c>
      <c r="D146" s="25" t="inlineStr">
        <is>
          <t>Every Clamp lands on you. AST +1 on anyone else's attempt</t>
        </is>
      </c>
      <c r="E146" s="26" t="n"/>
      <c r="F146" s="50" t="n">
        <v>1</v>
      </c>
      <c r="G146" s="72" t="n"/>
      <c r="H146" s="71" t="n"/>
      <c r="I146" s="71" t="n"/>
      <c r="J146" s="71" t="n"/>
    </row>
    <row r="147" ht="56" customHeight="1" s="85">
      <c r="A147" s="21" t="n"/>
      <c r="B147" s="22" t="inlineStr">
        <is>
          <t>Intangible</t>
        </is>
      </c>
      <c r="C147" s="23" t="inlineStr">
        <is>
          <t>Great Conditioning</t>
        </is>
      </c>
      <c r="D147" s="6" t="inlineStr">
        <is>
          <t>Injuries never land. Draw again for each</t>
        </is>
      </c>
      <c r="E147" s="7" t="n"/>
      <c r="F147" s="50" t="n">
        <v>1</v>
      </c>
      <c r="G147" s="70" t="inlineStr">
        <is>
          <t>Also discards any Injuries you already have (not on the card)</t>
        </is>
      </c>
      <c r="H147" s="71" t="n"/>
      <c r="I147" s="71" t="n"/>
      <c r="J147" s="71" t="n"/>
    </row>
    <row r="148" ht="126" customHeight="1" s="85">
      <c r="A148" s="21" t="n"/>
      <c r="B148" s="22" t="inlineStr">
        <is>
          <t>Intangible</t>
        </is>
      </c>
      <c r="C148" s="24" t="inlineStr">
        <is>
          <t>Hot Hand</t>
        </is>
      </c>
      <c r="D148" s="25" t="inlineStr">
        <is>
          <t>SHOT +25% if you scored last round</t>
        </is>
      </c>
      <c r="E148" s="26" t="n"/>
      <c r="F148" s="50" t="n">
        <v>1</v>
      </c>
      <c r="G148" s="72" t="n"/>
      <c r="H148" s="71" t="n"/>
      <c r="I148" s="71" t="n"/>
      <c r="J148" s="71" t="n"/>
    </row>
    <row r="149" ht="70" customHeight="1" s="85">
      <c r="A149" s="21" t="n"/>
      <c r="B149" s="22" t="inlineStr">
        <is>
          <t>Intangible</t>
        </is>
      </c>
      <c r="C149" s="23" t="inlineStr">
        <is>
          <t>Like That</t>
        </is>
      </c>
      <c r="D149" s="38" t="inlineStr">
        <is>
          <t>Nothing takes your SHOT down</t>
        </is>
      </c>
      <c r="E149" s="7" t="n"/>
      <c r="F149" s="50" t="n">
        <v>1</v>
      </c>
      <c r="G149" s="70" t="inlineStr">
        <is>
          <t>Variaball effects still lower SHOT: the ball is altered, not the player (not on the card)</t>
        </is>
      </c>
      <c r="H149" s="71" t="n"/>
      <c r="I149" s="71" t="n"/>
      <c r="J149" s="71" t="n"/>
    </row>
    <row r="150" ht="56" customHeight="1" s="85">
      <c r="A150" s="21" t="n"/>
      <c r="B150" s="22" t="inlineStr">
        <is>
          <t>Intangible</t>
        </is>
      </c>
      <c r="C150" s="24" t="inlineStr">
        <is>
          <t>Park Shark</t>
        </is>
      </c>
      <c r="D150" s="25" t="inlineStr">
        <is>
          <t>SHOT +25%. Cannot play Move cards or shoot Threes</t>
        </is>
      </c>
      <c r="E150" s="26" t="n"/>
      <c r="F150" s="50" t="n">
        <v>1</v>
      </c>
      <c r="G150" s="73" t="n"/>
      <c r="H150" s="71" t="n"/>
      <c r="I150" s="71" t="n"/>
      <c r="J150" s="71" t="n"/>
    </row>
    <row r="151" s="85">
      <c r="A151" s="21" t="n"/>
      <c r="B151" s="22" t="inlineStr">
        <is>
          <t>Intangible</t>
        </is>
      </c>
      <c r="C151" s="23" t="inlineStr">
        <is>
          <t>Point God</t>
        </is>
      </c>
      <c r="D151" s="6" t="inlineStr">
        <is>
          <t>Draw 1 after each of your passes</t>
        </is>
      </c>
      <c r="E151" s="7" t="n"/>
      <c r="F151" s="50" t="n">
        <v>1</v>
      </c>
      <c r="G151" s="70" t="n"/>
      <c r="H151" s="71" t="n"/>
      <c r="I151" s="71" t="n"/>
      <c r="J151" s="71" t="n"/>
    </row>
    <row r="152" s="85">
      <c r="A152" s="21" t="n"/>
      <c r="B152" s="22" t="inlineStr">
        <is>
          <t>Intangible</t>
        </is>
      </c>
      <c r="C152" s="24" t="inlineStr">
        <is>
          <t>Shot Creator</t>
        </is>
      </c>
      <c r="D152" s="25" t="inlineStr">
        <is>
          <t>On Draw: Draw +1</t>
        </is>
      </c>
      <c r="E152" s="26" t="n"/>
      <c r="F152" s="50" t="n">
        <v>1</v>
      </c>
      <c r="G152" s="73" t="inlineStr">
        <is>
          <t>Triggers once per act of drawing: a Draw 2 still gives only 1 extra</t>
        </is>
      </c>
      <c r="H152" s="71" t="n"/>
      <c r="I152" s="71" t="n"/>
      <c r="J152" s="71" t="n"/>
    </row>
    <row r="153" s="85">
      <c r="A153" s="21" t="n"/>
      <c r="B153" s="22" t="inlineStr">
        <is>
          <t>Intangible</t>
        </is>
      </c>
      <c r="C153" s="23" t="inlineStr">
        <is>
          <t>Sixth Man</t>
        </is>
      </c>
      <c r="D153" s="6" t="inlineStr">
        <is>
          <t>On any six — cards in hand, Shot Clock, shot of the round, or Score — you may Shoot at SHOT = 60%</t>
        </is>
      </c>
      <c r="E153" s="7" t="n"/>
      <c r="F153" s="50" t="n">
        <v>1</v>
      </c>
      <c r="G153" s="70" t="inlineStr">
        <is>
          <t>A second SHOOT (60%) button beside Shoot, shown only on a six. Ignore it when SHOT is already higher</t>
        </is>
      </c>
      <c r="H153" s="71" t="n"/>
      <c r="I153" s="71" t="n"/>
      <c r="J153" s="71" t="n"/>
    </row>
    <row r="154" s="85">
      <c r="A154" s="21" t="n"/>
      <c r="B154" s="22" t="inlineStr">
        <is>
          <t>Intangible</t>
        </is>
      </c>
      <c r="C154" s="24" t="inlineStr">
        <is>
          <t>Sniper</t>
        </is>
      </c>
      <c r="D154" s="25" t="inlineStr">
        <is>
          <t>SHOT +25% when attempting a Three</t>
        </is>
      </c>
      <c r="E154" s="26" t="n"/>
      <c r="F154" s="50" t="n">
        <v>1</v>
      </c>
      <c r="G154" s="72" t="n"/>
      <c r="H154" s="71" t="n"/>
      <c r="I154" s="71" t="n"/>
      <c r="J154" s="71" t="n"/>
    </row>
    <row r="155" s="85">
      <c r="A155" s="21" t="n"/>
      <c r="B155" s="22" t="inlineStr">
        <is>
          <t>Intangible</t>
        </is>
      </c>
      <c r="C155" s="23" t="inlineStr">
        <is>
          <t>Splash Cousin</t>
        </is>
      </c>
      <c r="D155" s="6" t="inlineStr">
        <is>
          <t>SHOT = 100% when attempting a Three</t>
        </is>
      </c>
      <c r="E155" s="7" t="n"/>
      <c r="F155" s="50" t="n">
        <v>1</v>
      </c>
      <c r="G155" s="70" t="n"/>
      <c r="H155" s="71" t="n"/>
      <c r="I155" s="71" t="n"/>
      <c r="J155" s="71" t="n"/>
    </row>
    <row r="156" s="85">
      <c r="A156" s="21" t="n"/>
      <c r="B156" s="22" t="inlineStr">
        <is>
          <t>Intangible</t>
        </is>
      </c>
      <c r="C156" s="24" t="inlineStr">
        <is>
          <t>Competitive</t>
        </is>
      </c>
      <c r="D156" s="25" t="inlineStr">
        <is>
          <t>Clamps do nothing to your SHOT</t>
        </is>
      </c>
      <c r="E156" s="26" t="n"/>
      <c r="F156" s="50" t="n">
        <v>1</v>
      </c>
      <c r="G156" s="72" t="n"/>
      <c r="H156" s="71" t="n"/>
      <c r="I156" s="71" t="n"/>
      <c r="J156" s="71" t="n"/>
    </row>
    <row r="157" s="85">
      <c r="A157" s="21" t="n"/>
      <c r="B157" s="22" t="inlineStr">
        <is>
          <t>Intangible</t>
        </is>
      </c>
      <c r="C157" s="23" t="inlineStr">
        <is>
          <t>Lethal Shooter</t>
        </is>
      </c>
      <c r="D157" s="38" t="inlineStr">
        <is>
          <t>SHOT = 100% when shooting as your first action after a Rebound of your own miss</t>
        </is>
      </c>
      <c r="E157" s="7" t="n"/>
      <c r="F157" s="50" t="n">
        <v>1</v>
      </c>
      <c r="G157" s="70" t="inlineStr">
        <is>
          <t>Special text: “I understand it now”</t>
        </is>
      </c>
      <c r="H157" s="71" t="n"/>
      <c r="I157" s="71" t="n"/>
      <c r="J157" s="71" t="n"/>
    </row>
    <row r="158" s="85">
      <c r="A158" s="21" t="n"/>
      <c r="B158" s="22" t="inlineStr">
        <is>
          <t>Intangible</t>
        </is>
      </c>
      <c r="C158" s="24" t="inlineStr">
        <is>
          <t>Ball Pounder</t>
        </is>
      </c>
      <c r="D158" s="25" t="inlineStr">
        <is>
          <t>Every Dribble Draws 1 card but gives SHOT -10% and Shot Clock -01</t>
        </is>
      </c>
      <c r="E158" s="26" t="n"/>
      <c r="F158" s="50" t="n">
        <v>1</v>
      </c>
      <c r="G158" s="73" t="n"/>
      <c r="H158" s="71" t="n"/>
      <c r="I158" s="71" t="n"/>
      <c r="J158" s="71" t="n"/>
    </row>
    <row r="159" ht="42" customHeight="1" s="85">
      <c r="A159" s="21" t="n"/>
      <c r="B159" s="22" t="inlineStr">
        <is>
          <t>Intangible</t>
        </is>
      </c>
      <c r="C159" s="23" t="inlineStr">
        <is>
          <t>Dirty Player</t>
        </is>
      </c>
      <c r="D159" s="38" t="inlineStr">
        <is>
          <t>Each of your Clamps costs an Injured player a card. Discard 1 whenever a Whistle fires</t>
        </is>
      </c>
      <c r="E159" s="7" t="n"/>
      <c r="F159" s="50" t="n">
        <v>1</v>
      </c>
      <c r="G159" s="70" t="n"/>
      <c r="H159" s="71" t="n"/>
      <c r="I159" s="71" t="n"/>
      <c r="J159" s="71" t="n"/>
    </row>
    <row r="160" s="85">
      <c r="A160" s="21" t="n"/>
      <c r="B160" s="22" t="inlineStr">
        <is>
          <t>Intangible</t>
        </is>
      </c>
      <c r="C160" s="23" t="inlineStr">
        <is>
          <t>Free Agent</t>
        </is>
      </c>
      <c r="D160" s="38" t="inlineStr">
        <is>
          <t>Discard your hand. Play a card at random from a player of your choosing (they keep it)</t>
        </is>
      </c>
      <c r="E160" s="7" t="n"/>
      <c r="F160" s="50" t="n"/>
      <c r="G160" s="70" t="inlineStr">
        <is>
          <t>Low priority to bring back. 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60" s="71" t="n"/>
      <c r="I160" s="71" t="n"/>
      <c r="J160" s="71" t="n"/>
    </row>
    <row r="161" s="85">
      <c r="A161" s="21" t="n"/>
      <c r="B161" s="22" t="inlineStr">
        <is>
          <t>Intangible</t>
        </is>
      </c>
      <c r="C161" s="23" t="inlineStr">
        <is>
          <t>Franchise Player</t>
        </is>
      </c>
      <c r="D161" s="38" t="inlineStr">
        <is>
          <t>Your passes cost the man receiving one: a passive of his, or a card</t>
        </is>
      </c>
      <c r="E161" s="7" t="n"/>
      <c r="F161" s="50" t="n">
        <v>1</v>
      </c>
      <c r="G161" s="70" t="n"/>
      <c r="H161" s="71" t="n"/>
      <c r="I161" s="71" t="n"/>
      <c r="J161" s="71" t="n"/>
    </row>
    <row r="162" s="85">
      <c r="A162" s="21" t="n"/>
      <c r="B162" s="22" t="inlineStr">
        <is>
          <t>Intangible</t>
        </is>
      </c>
      <c r="C162" s="23" t="inlineStr">
        <is>
          <t>Fundamentalist</t>
        </is>
      </c>
      <c r="D162" s="38" t="inlineStr">
        <is>
          <t>No Special Moves. Each Move once a turn. Swings, Skip Pass and Dribble are never spent. Discards the current ball</t>
        </is>
      </c>
      <c r="E162" s="7" t="n"/>
      <c r="F162" s="50" t="n">
        <v>1</v>
      </c>
      <c r="G162" s="70" t="inlineStr">
        <is>
          <t>The ball is discarded once, on activation</t>
        </is>
      </c>
      <c r="H162" s="71" t="n"/>
      <c r="I162" s="71" t="n"/>
      <c r="J162" s="71" t="n"/>
    </row>
    <row r="163" s="85">
      <c r="A163" s="21" t="n"/>
      <c r="B163" s="22" t="inlineStr">
        <is>
          <t>Intangible</t>
        </is>
      </c>
      <c r="C163" s="23" t="inlineStr">
        <is>
          <t>Moves At Own Pace</t>
        </is>
      </c>
      <c r="D163" s="38" t="inlineStr">
        <is>
          <t>Cannot be called for Traveling or Shot Clock violations</t>
        </is>
      </c>
      <c r="E163" s="7" t="n"/>
      <c r="F163" s="50" t="n">
        <v>1</v>
      </c>
      <c r="G163" s="70" t="n"/>
      <c r="H163" s="71" t="n"/>
      <c r="I163" s="71" t="n"/>
      <c r="J163" s="71" t="n"/>
    </row>
    <row r="164" s="85">
      <c r="A164" s="21" t="n"/>
      <c r="B164" s="22" t="inlineStr">
        <is>
          <t>Intangible</t>
        </is>
      </c>
      <c r="C164" s="23" t="inlineStr">
        <is>
          <t>Equalizer</t>
        </is>
      </c>
      <c r="D164" s="38" t="inlineStr">
        <is>
          <t>You may Discard this card when shooting: SHOT = 100%. All players' pts become your new total pts.</t>
        </is>
      </c>
      <c r="E164" s="7" t="n"/>
      <c r="F164" s="50" t="n">
        <v>1</v>
      </c>
      <c r="G164" s="70" t="inlineStr">
        <is>
          <t>The points change comes after the make</t>
        </is>
      </c>
      <c r="H164" s="71" t="n"/>
      <c r="I164" s="71" t="n"/>
      <c r="J164" s="71" t="n"/>
    </row>
    <row r="165" s="85">
      <c r="A165" s="27" t="n"/>
      <c r="B165" s="28" t="inlineStr">
        <is>
          <t>Intangible</t>
        </is>
      </c>
      <c r="C165" s="56" t="inlineStr">
        <is>
          <t>Varsitile</t>
        </is>
      </c>
      <c r="D165" s="63" t="inlineStr">
        <is>
          <t>Play any number of Varenas and Variaballs a turn. Once a possession, exchange the Varena and/or ball for ones in the Discards</t>
        </is>
      </c>
      <c r="E165" s="58" t="n"/>
      <c r="F165" s="61" t="n">
        <v>1</v>
      </c>
      <c r="G165" s="75" t="inlineStr">
        <is>
          <t>One use can exchange both</t>
        </is>
      </c>
      <c r="H165" s="76" t="n"/>
      <c r="I165" s="76" t="n"/>
      <c r="J165" s="76" t="n"/>
    </row>
    <row r="166" s="85">
      <c r="A166" s="27" t="n"/>
      <c r="B166" s="28" t="inlineStr">
        <is>
          <t>Intangible</t>
        </is>
      </c>
      <c r="C166" s="56" t="inlineStr">
        <is>
          <t>Brawl Handler</t>
        </is>
      </c>
      <c r="D166" s="63" t="inlineStr">
        <is>
          <t>Remove all your Clamps when you change the ball</t>
        </is>
      </c>
      <c r="E166" s="58" t="n"/>
      <c r="F166" s="61" t="n">
        <v>1</v>
      </c>
      <c r="G166" s="75" t="n"/>
      <c r="H166" s="76" t="n"/>
      <c r="I166" s="76" t="n"/>
      <c r="J166" s="76" t="n"/>
    </row>
    <row r="167" s="85">
      <c r="A167" s="27" t="n"/>
      <c r="B167" s="28" t="inlineStr">
        <is>
          <t>Intangible</t>
        </is>
      </c>
      <c r="C167" s="56" t="inlineStr">
        <is>
          <t>Baller</t>
        </is>
      </c>
      <c r="D167" s="63" t="inlineStr">
        <is>
          <t>Draw 1 each time you change the ball</t>
        </is>
      </c>
      <c r="E167" s="58" t="n"/>
      <c r="F167" s="61" t="n">
        <v>1</v>
      </c>
      <c r="G167" s="75" t="n"/>
      <c r="H167" s="76" t="n"/>
      <c r="I167" s="76" t="n"/>
      <c r="J167" s="76" t="n"/>
    </row>
    <row r="168" s="85">
      <c r="A168" s="52" t="inlineStr">
        <is>
          <t>Varena</t>
        </is>
      </c>
      <c r="B168" s="53">
        <f>COUNTIF($B$160:$B$189,"Varena")</f>
        <v/>
      </c>
      <c r="C168" s="54" t="n"/>
      <c r="D168" s="54" t="n"/>
      <c r="E168" s="54" t="n"/>
      <c r="F168" s="55" t="n"/>
      <c r="G168" s="66" t="n"/>
      <c r="H168" s="67" t="n"/>
      <c r="I168" s="67" t="n"/>
      <c r="J168" s="67" t="n"/>
    </row>
    <row r="169" s="85">
      <c r="A169" s="27" t="n"/>
      <c r="B169" s="28" t="inlineStr">
        <is>
          <t>Varena</t>
        </is>
      </c>
      <c r="C169" s="56" t="inlineStr">
        <is>
          <t>Cardwood</t>
        </is>
      </c>
      <c r="D169" s="63" t="inlineStr">
        <is>
          <t>Changes the court back to basic</t>
        </is>
      </c>
      <c r="E169" s="58" t="n"/>
      <c r="F169" s="61" t="n">
        <v>0</v>
      </c>
      <c r="G169" s="75" t="inlineStr">
        <is>
          <t>Also the floor every game opens on, before anybody plays a Varena over it · Shelved while the venue is redesigned</t>
        </is>
      </c>
      <c r="H169" s="76" t="n"/>
      <c r="I169" s="76" t="n"/>
      <c r="J169" s="76" t="n"/>
    </row>
    <row r="170" s="85">
      <c r="A170" s="27" t="n"/>
      <c r="B170" s="28" t="inlineStr">
        <is>
          <t>Varena</t>
        </is>
      </c>
      <c r="C170" s="56" t="inlineStr">
        <is>
          <t>Prime Parquet</t>
        </is>
      </c>
      <c r="D170" s="63" t="inlineStr">
        <is>
          <t>SHOT +20%</t>
        </is>
      </c>
      <c r="E170" s="58" t="n"/>
      <c r="F170" s="61" t="n">
        <v>0</v>
      </c>
      <c r="G170" s="75" t="inlineStr">
        <is>
          <t>Shelved while the venue is redesigned</t>
        </is>
      </c>
      <c r="H170" s="76" t="n"/>
      <c r="I170" s="76" t="n"/>
      <c r="J170" s="76" t="n"/>
    </row>
    <row r="171" s="85">
      <c r="A171" s="27" t="n"/>
      <c r="B171" s="28" t="inlineStr">
        <is>
          <t>Varena</t>
        </is>
      </c>
      <c r="C171" s="56" t="inlineStr">
        <is>
          <t>Lacktop</t>
        </is>
      </c>
      <c r="D171" s="63" t="inlineStr">
        <is>
          <t>SHOT -20%</t>
        </is>
      </c>
      <c r="E171" s="58" t="n"/>
      <c r="F171" s="61" t="n">
        <v>0</v>
      </c>
      <c r="G171" s="75" t="inlineStr">
        <is>
          <t>Always Prime Parquet's opposite · Shelved while the venue is redesigned</t>
        </is>
      </c>
      <c r="H171" s="76" t="n"/>
      <c r="I171" s="76" t="n"/>
      <c r="J171" s="76" t="n"/>
    </row>
    <row r="172" s="85">
      <c r="A172" s="27" t="n"/>
      <c r="B172" s="28" t="inlineStr">
        <is>
          <t>Varena</t>
        </is>
      </c>
      <c r="C172" s="56" t="inlineStr">
        <is>
          <t>Smacktop</t>
        </is>
      </c>
      <c r="D172" s="63" t="inlineStr">
        <is>
          <t>Clear All Whistles. Whistles Cannot Be Played. All Clamps are enhanced</t>
        </is>
      </c>
      <c r="E172" s="58" t="n"/>
      <c r="F172" s="61" t="n">
        <v>0</v>
      </c>
      <c r="G172" s="75" t="inlineStr">
        <is>
          <t>Enhanced: +10% more reduction, one more card discarded, one more card locked · Shelved while the venue is redesigned</t>
        </is>
      </c>
      <c r="H172" s="76" t="n"/>
      <c r="I172" s="76" t="n"/>
      <c r="J172" s="76" t="n"/>
    </row>
    <row r="173" s="85">
      <c r="A173" s="27" t="n"/>
      <c r="B173" s="28" t="inlineStr">
        <is>
          <t>Varena</t>
        </is>
      </c>
      <c r="C173" s="56" t="inlineStr">
        <is>
          <t>Boarder Court</t>
        </is>
      </c>
      <c r="D173" s="63" t="inlineStr">
        <is>
          <t>Off your own miss, your Rebound bid counts as one card more</t>
        </is>
      </c>
      <c r="E173" s="58" t="n"/>
      <c r="F173" s="61" t="n">
        <v>0</v>
      </c>
      <c r="G173" s="75" t="inlineStr">
        <is>
          <t>Still needs a bid of at least one · Shelved while the venue is redesigned</t>
        </is>
      </c>
      <c r="H173" s="76" t="n"/>
      <c r="I173" s="76" t="n"/>
      <c r="J173" s="76" t="n"/>
    </row>
    <row r="174" s="85">
      <c r="A174" s="27" t="n"/>
      <c r="B174" s="28" t="inlineStr">
        <is>
          <t>Varena</t>
        </is>
      </c>
      <c r="C174" s="56" t="inlineStr">
        <is>
          <t>Dim Dome</t>
        </is>
      </c>
      <c r="D174" s="63" t="inlineStr">
        <is>
          <t>SHOT is hidden from everyone but the ball holder</t>
        </is>
      </c>
      <c r="E174" s="58" t="n"/>
      <c r="F174" s="61" t="n">
        <v>0</v>
      </c>
      <c r="G174" s="75" t="inlineStr">
        <is>
          <t>On a table, flip the % device face down · Shelved while the venue is redesigned</t>
        </is>
      </c>
      <c r="H174" s="76" t="n"/>
      <c r="I174" s="76" t="n"/>
      <c r="J174" s="76" t="n"/>
    </row>
    <row r="175" s="85">
      <c r="A175" s="27" t="n"/>
      <c r="B175" s="28" t="inlineStr">
        <is>
          <t>Varena</t>
        </is>
      </c>
      <c r="C175" s="56" t="inlineStr">
        <is>
          <t>Tri-hard Tiling</t>
        </is>
      </c>
      <c r="D175" s="63" t="inlineStr">
        <is>
          <t>Hand limit 3</t>
        </is>
      </c>
      <c r="E175" s="58" t="n"/>
      <c r="F175" s="61" t="n">
        <v>0</v>
      </c>
      <c r="G175" s="75" t="inlineStr">
        <is>
          <t>Hands over 3 are cut to 3 when it lands (owner picks). A draw into a hand of 3 is discarded · Shelved while the venue is redesigned</t>
        </is>
      </c>
      <c r="H175" s="76" t="n"/>
      <c r="I175" s="76" t="n"/>
      <c r="J175" s="76" t="n"/>
    </row>
    <row r="176" s="85">
      <c r="A176" s="27" t="n"/>
      <c r="B176" s="28" t="inlineStr">
        <is>
          <t>Retired Varena</t>
        </is>
      </c>
      <c r="C176" s="56" t="inlineStr">
        <is>
          <t>Policeum</t>
        </is>
      </c>
      <c r="D176" s="63" t="inlineStr">
        <is>
          <t>Referees do not leave once triggered</t>
        </is>
      </c>
      <c r="E176" s="58" t="n"/>
      <c r="F176" s="61" t="n">
        <v>0</v>
      </c>
      <c r="G176" s="75" t="inlineStr">
        <is>
          <t>Out of the deck (2026-09-15): its referees could lock a game into a loop</t>
        </is>
      </c>
      <c r="H176" s="76" t="n"/>
      <c r="I176" s="76" t="n"/>
      <c r="J176" s="76" t="n"/>
    </row>
    <row r="177" s="85">
      <c r="A177" s="27" t="n"/>
      <c r="B177" s="28" t="inlineStr">
        <is>
          <t>Varena</t>
        </is>
      </c>
      <c r="C177" s="56" t="inlineStr">
        <is>
          <t>Kiddie Court</t>
        </is>
      </c>
      <c r="D177" s="63" t="inlineStr">
        <is>
          <t>SHOT +10%. Dunks +10%. Three-point shots cannot be attempted.</t>
        </is>
      </c>
      <c r="E177" s="58" t="n"/>
      <c r="F177" s="61" t="n">
        <v>0</v>
      </c>
      <c r="G177" s="75" t="inlineStr">
        <is>
          <t>Shuts off every card that makes a three (Kick-Out) · Shelved while the venue is redesigned</t>
        </is>
      </c>
      <c r="H177" s="76" t="n"/>
      <c r="I177" s="76" t="n"/>
      <c r="J177" s="76" t="n"/>
    </row>
    <row r="178" s="85">
      <c r="A178" s="27" t="n"/>
      <c r="B178" s="28" t="inlineStr">
        <is>
          <t>Varena</t>
        </is>
      </c>
      <c r="C178" s="56" t="inlineStr">
        <is>
          <t>Recharging Resin</t>
        </is>
      </c>
      <c r="D178" s="63" t="inlineStr">
        <is>
          <t>Everyone refills their hand at the start of their possession</t>
        </is>
      </c>
      <c r="E178" s="58" t="n"/>
      <c r="F178" s="61" t="n">
        <v>0</v>
      </c>
      <c r="G178" s="75" t="inlineStr">
        <is>
          <t>After the draw for turn · Shelved while the venue is redesigned</t>
        </is>
      </c>
      <c r="H178" s="76" t="n"/>
      <c r="I178" s="76" t="n"/>
      <c r="J178" s="76" t="n"/>
    </row>
    <row r="179" s="85">
      <c r="A179" s="27" t="n"/>
      <c r="B179" s="28" t="inlineStr">
        <is>
          <t>Varena</t>
        </is>
      </c>
      <c r="C179" s="56" t="inlineStr">
        <is>
          <t>Contact Court</t>
        </is>
      </c>
      <c r="D179" s="63" t="inlineStr">
        <is>
          <t>Being clamped: take 1 FT. The Clamp still lands</t>
        </is>
      </c>
      <c r="E179" s="58" t="n"/>
      <c r="F179" s="61" t="n">
        <v>0</v>
      </c>
      <c r="G179" s="75" t="inlineStr">
        <is>
          <t>One free throw however many Clamps land · Shelved while the venue is redesigned</t>
        </is>
      </c>
      <c r="H179" s="76" t="n"/>
      <c r="I179" s="76" t="n"/>
      <c r="J179" s="76" t="n"/>
    </row>
    <row r="180" s="85">
      <c r="A180" s="27" t="n"/>
      <c r="B180" s="28" t="inlineStr">
        <is>
          <t>Varena</t>
        </is>
      </c>
      <c r="C180" s="56" t="inlineStr">
        <is>
          <t>MVPiquia</t>
        </is>
      </c>
      <c r="D180" s="63" t="inlineStr">
        <is>
          <t>The highest scorer refills their hand at the start of their possession</t>
        </is>
      </c>
      <c r="E180" s="58" t="n"/>
      <c r="F180" s="61" t="n">
        <v>0</v>
      </c>
      <c r="G180" s="75" t="inlineStr">
        <is>
          <t>A tie for the lead counts · Shelved while the venue is redesigned</t>
        </is>
      </c>
      <c r="H180" s="76" t="n"/>
      <c r="I180" s="76" t="n"/>
      <c r="J180" s="76" t="n"/>
    </row>
    <row r="181" s="85">
      <c r="A181" s="27" t="n"/>
      <c r="B181" s="28" t="inlineStr">
        <is>
          <t>Varena</t>
        </is>
      </c>
      <c r="C181" s="56" t="inlineStr">
        <is>
          <t>Polypaypylene</t>
        </is>
      </c>
      <c r="D181" s="63" t="inlineStr">
        <is>
          <t>Making a shot: Draw 3</t>
        </is>
      </c>
      <c r="E181" s="58" t="n"/>
      <c r="F181" s="61" t="n">
        <v>0</v>
      </c>
      <c r="G181" s="75" t="inlineStr">
        <is>
          <t>Shelved while the venue is redesigned</t>
        </is>
      </c>
      <c r="H181" s="76" t="n"/>
      <c r="I181" s="76" t="n"/>
      <c r="J181" s="76" t="n"/>
    </row>
    <row r="182" s="85">
      <c r="A182" s="27" t="n"/>
      <c r="B182" s="28" t="inlineStr">
        <is>
          <t>Varena</t>
        </is>
      </c>
      <c r="C182" s="56" t="inlineStr">
        <is>
          <t>Recoverena</t>
        </is>
      </c>
      <c r="D182" s="63" t="inlineStr">
        <is>
          <t>Discard all Injuries. A new Injury is discarded, and that player draws 1</t>
        </is>
      </c>
      <c r="E182" s="58" t="n"/>
      <c r="F182" s="61" t="n">
        <v>0</v>
      </c>
      <c r="G182" s="75" t="inlineStr">
        <is>
          <t>Every player's Injuries go when it lands · Shelved while the venue is redesigned</t>
        </is>
      </c>
      <c r="H182" s="76" t="n"/>
      <c r="I182" s="76" t="n"/>
      <c r="J182" s="76" t="n"/>
    </row>
    <row r="183" s="85">
      <c r="A183" s="27" t="n"/>
      <c r="B183" s="28" t="inlineStr">
        <is>
          <t>Varena</t>
        </is>
      </c>
      <c r="C183" s="56" t="inlineStr">
        <is>
          <t>Carousel Court</t>
        </is>
      </c>
      <c r="D183" s="63" t="inlineStr">
        <is>
          <t>Declare left or right. Every possession, hands move one seat that way</t>
        </is>
      </c>
      <c r="E183" s="58" t="n"/>
      <c r="F183" s="61" t="n">
        <v>0</v>
      </c>
      <c r="G183" s="75" t="inlineStr">
        <is>
          <t>Declared by whoever plays it · Shelved while the venue is redesigned</t>
        </is>
      </c>
      <c r="H183" s="76" t="n"/>
      <c r="I183" s="76" t="n"/>
      <c r="J183" s="76" t="n"/>
    </row>
    <row r="184" s="85">
      <c r="A184" s="27" t="n"/>
      <c r="B184" s="28" t="inlineStr">
        <is>
          <t>Varena</t>
        </is>
      </c>
      <c r="C184" s="56" t="inlineStr">
        <is>
          <t>Traderous Tarmac</t>
        </is>
      </c>
      <c r="D184" s="63" t="inlineStr">
        <is>
          <t>During your turn, hand off any number of the Clamps on you to other players</t>
        </is>
      </c>
      <c r="E184" s="58" t="n"/>
      <c r="F184" s="61" t="n">
        <v>0</v>
      </c>
      <c r="G184" s="75" t="inlineStr">
        <is>
          <t>The player assigns each Clamp: all to one player, one each, or any split · Shelved while the venue is redesigned</t>
        </is>
      </c>
      <c r="H184" s="76" t="n"/>
      <c r="I184" s="76" t="n"/>
      <c r="J184" s="76" t="n"/>
    </row>
    <row r="185" s="85">
      <c r="A185" s="27" t="n"/>
      <c r="B185" s="28" t="inlineStr">
        <is>
          <t>Varena</t>
        </is>
      </c>
      <c r="C185" s="56" t="inlineStr">
        <is>
          <t>Clearcoat Court</t>
        </is>
      </c>
      <c r="D185" s="63" t="inlineStr">
        <is>
          <t>Every possession: clear all referees, Clamps, Injuries and Intangibles</t>
        </is>
      </c>
      <c r="E185" s="58" t="n"/>
      <c r="F185" s="61" t="n">
        <v>0</v>
      </c>
      <c r="G185" s="75" t="inlineStr">
        <is>
          <t>Standing Clamps only; Clamps still in the air land after the wipe · Shelved while the venue is redesigned</t>
        </is>
      </c>
      <c r="H185" s="76" t="n"/>
      <c r="I185" s="76" t="n"/>
      <c r="J185" s="76" t="n"/>
    </row>
    <row r="186" s="85">
      <c r="A186" s="27" t="n"/>
      <c r="B186" s="28" t="inlineStr">
        <is>
          <t>Varena</t>
        </is>
      </c>
      <c r="C186" s="56" t="inlineStr">
        <is>
          <t>Malice Palace</t>
        </is>
      </c>
      <c r="D186" s="63" t="inlineStr">
        <is>
          <t>At the start of your possession, before your draw: discard your hand</t>
        </is>
      </c>
      <c r="E186" s="58" t="n"/>
      <c r="F186" s="61" t="n">
        <v>0</v>
      </c>
      <c r="G186" s="75" t="inlineStr">
        <is>
          <t>Shelved while the venue is redesigned</t>
        </is>
      </c>
      <c r="H186" s="76" t="n"/>
      <c r="I186" s="76" t="n"/>
      <c r="J186" s="76" t="n"/>
    </row>
    <row r="187" s="85">
      <c r="A187" s="27" t="n"/>
      <c r="B187" s="28" t="inlineStr">
        <is>
          <t>Varena</t>
        </is>
      </c>
      <c r="C187" s="56" t="inlineStr">
        <is>
          <t>Turnstile Tile</t>
        </is>
      </c>
      <c r="D187" s="63" t="inlineStr">
        <is>
          <t>Upright: SHOT +25%
Reversed: SHOT -25%
Turn this card at the start of each possession</t>
        </is>
      </c>
      <c r="E187" s="58" t="n"/>
      <c r="F187" s="61" t="n">
        <v>0</v>
      </c>
      <c r="G187" s="75" t="inlineStr">
        <is>
          <t>+25% the possession it lands · Shelved while the venue is redesigned</t>
        </is>
      </c>
      <c r="H187" s="76" t="n"/>
      <c r="I187" s="76" t="n"/>
      <c r="J187" s="76" t="n"/>
    </row>
    <row r="188" s="85">
      <c r="A188" s="27" t="n"/>
      <c r="B188" s="28" t="inlineStr">
        <is>
          <t>Varena</t>
        </is>
      </c>
      <c r="C188" s="56" t="inlineStr">
        <is>
          <t>Roleplayer Polymer</t>
        </is>
      </c>
      <c r="D188" s="63" t="inlineStr">
        <is>
          <t>Every possession, everyone but the turn player draws 1</t>
        </is>
      </c>
      <c r="E188" s="58" t="n"/>
      <c r="F188" s="61" t="n">
        <v>0</v>
      </c>
      <c r="G188" s="75" t="inlineStr">
        <is>
          <t>Shelved while the venue is redesigned</t>
        </is>
      </c>
      <c r="H188" s="76" t="n"/>
      <c r="I188" s="76" t="n"/>
      <c r="J188" s="76" t="n"/>
    </row>
    <row r="189" s="85">
      <c r="A189" s="27" t="n"/>
      <c r="B189" s="28" t="inlineStr">
        <is>
          <t>Varena</t>
        </is>
      </c>
      <c r="C189" s="56" t="inlineStr">
        <is>
          <t>Variaball Vinyl</t>
        </is>
      </c>
      <c r="D189" s="63" t="inlineStr">
        <is>
          <t>The draw for turn goes to a random player each possession</t>
        </is>
      </c>
      <c r="E189" s="58" t="n"/>
      <c r="F189" s="61" t="n">
        <v>0</v>
      </c>
      <c r="G189" s="75" t="inlineStr">
        <is>
          <t>Can be the turn player · Shelved while the venue is redesigned</t>
        </is>
      </c>
      <c r="H189" s="76" t="n"/>
      <c r="I189" s="76" t="n"/>
      <c r="J189" s="76" t="n"/>
    </row>
    <row r="190" ht="42" customHeight="1" s="85">
      <c r="A190" s="27" t="n"/>
      <c r="B190" s="28" t="inlineStr">
        <is>
          <t>Varena</t>
        </is>
      </c>
      <c r="C190" s="56" t="inlineStr">
        <is>
          <t>Gravi-Gym</t>
        </is>
      </c>
      <c r="D190" s="63" t="inlineStr">
        <is>
          <t>SHOT -10%. No dunks</t>
        </is>
      </c>
      <c r="E190" s="58" t="n"/>
      <c r="F190" s="61" t="n">
        <v>0</v>
      </c>
      <c r="G190" s="75" t="inlineStr">
        <is>
          <t>Cards that dunk cannot be played · Shelved while the venue is redesigned</t>
        </is>
      </c>
      <c r="H190" s="76" t="n"/>
      <c r="I190" s="76" t="n"/>
      <c r="J190" s="76" t="n"/>
    </row>
    <row r="191" s="85">
      <c r="A191" s="27" t="n"/>
      <c r="B191" s="28" t="inlineStr">
        <is>
          <t>Varena</t>
        </is>
      </c>
      <c r="C191" s="56" t="inlineStr">
        <is>
          <t>Vintage Varnish</t>
        </is>
      </c>
      <c r="D191" s="63" t="inlineStr">
        <is>
          <t>Shot Clock 14. No threes. No Variaballs. 1 Intangible per player</t>
        </is>
      </c>
      <c r="E191" s="58" t="n"/>
      <c r="F191" s="61" t="n">
        <v>0</v>
      </c>
      <c r="G191" s="75" t="inlineStr">
        <is>
          <t>Discards the ball in play when it lands · Shelved while the venue is redesigned</t>
        </is>
      </c>
      <c r="H191" s="76" t="n"/>
      <c r="I191" s="76" t="n"/>
      <c r="J191" s="76" t="n"/>
    </row>
    <row r="192" s="85">
      <c r="A192" s="27" t="n"/>
      <c r="B192" s="28" t="inlineStr">
        <is>
          <t>Varena</t>
        </is>
      </c>
      <c r="C192" s="56" t="inlineStr">
        <is>
          <t>S.O.S — Sell-Out Stadium</t>
        </is>
      </c>
      <c r="D192" s="63" t="inlineStr">
        <is>
          <t>A Three may be attempted as a two at 2X SHOT</t>
        </is>
      </c>
      <c r="E192" s="58" t="n"/>
      <c r="F192" s="61" t="n">
        <v>0</v>
      </c>
      <c r="G192" s="75" t="inlineStr">
        <is>
          <t>Keeps every other printed effect · Shelved while the venue is redesigned</t>
        </is>
      </c>
      <c r="H192" s="76" t="n"/>
      <c r="I192" s="76" t="n"/>
      <c r="J192" s="76" t="n"/>
    </row>
    <row r="193" s="85">
      <c r="A193" s="27" t="n"/>
      <c r="B193" s="28" t="inlineStr">
        <is>
          <t>Varena</t>
        </is>
      </c>
      <c r="C193" s="56" t="inlineStr">
        <is>
          <t>Grayvstone</t>
        </is>
      </c>
      <c r="D193" s="63" t="inlineStr">
        <is>
          <t>Each possession, the ball becomes the last Variaball in the discards</t>
        </is>
      </c>
      <c r="E193" s="58" t="n"/>
      <c r="F193" s="61" t="n">
        <v>0</v>
      </c>
      <c r="G193" s="75" t="inlineStr">
        <is>
          <t>With none there, nothing happens · Shelved while the venue is redesigned</t>
        </is>
      </c>
      <c r="H193" s="76" t="n"/>
      <c r="I193" s="76" t="n"/>
      <c r="J193" s="76" t="n"/>
    </row>
    <row r="194" s="85">
      <c r="A194" s="27" t="n"/>
      <c r="B194" s="28" t="inlineStr">
        <is>
          <t>Varena</t>
        </is>
      </c>
      <c r="C194" s="56" t="inlineStr">
        <is>
          <t>Con-crete</t>
        </is>
      </c>
      <c r="D194" s="63" t="inlineStr">
        <is>
          <t>Move cards: SHOT -10%</t>
        </is>
      </c>
      <c r="E194" s="58" t="n"/>
      <c r="F194" s="61" t="n">
        <v>0</v>
      </c>
      <c r="G194" s="75" t="inlineStr">
        <is>
          <t>Shelved while the venue is redesigned</t>
        </is>
      </c>
      <c r="H194" s="76" t="n"/>
      <c r="I194" s="76" t="n"/>
      <c r="J194" s="76" t="n"/>
    </row>
    <row r="195" s="85">
      <c r="A195" s="27" t="n"/>
      <c r="B195" s="28" t="inlineStr">
        <is>
          <t>Varena</t>
        </is>
      </c>
      <c r="C195" s="56" t="inlineStr">
        <is>
          <t>Spazzphalt</t>
        </is>
      </c>
      <c r="D195" s="63" t="inlineStr">
        <is>
          <t>SHOT = ?</t>
        </is>
      </c>
      <c r="E195" s="58" t="n"/>
      <c r="F195" s="61" t="n">
        <v>0</v>
      </c>
      <c r="G195" s="75" t="inlineStr">
        <is>
          <t>A random 0–100%, in steps of 5 · Shelved while the venue is redesigned</t>
        </is>
      </c>
      <c r="H195" s="76" t="n"/>
      <c r="I195" s="76" t="n"/>
      <c r="J195" s="76" t="n"/>
    </row>
    <row r="196" s="85">
      <c r="A196" s="27" t="n"/>
      <c r="B196" s="28" t="inlineStr">
        <is>
          <t>Varena</t>
        </is>
      </c>
      <c r="C196" s="56" t="inlineStr">
        <is>
          <t>Frostbite Finish</t>
        </is>
      </c>
      <c r="D196" s="63" t="inlineStr">
        <is>
          <t>Playing a Move costs discarding 1 other card</t>
        </is>
      </c>
      <c r="E196" s="58" t="n"/>
      <c r="F196" s="61" t="n">
        <v>0</v>
      </c>
      <c r="G196" s="75" t="inlineStr">
        <is>
          <t>The owner picks the card. A Move that is your whole hand can't be played · Shelved while the venue is redesigned</t>
        </is>
      </c>
      <c r="H196" s="76" t="n"/>
      <c r="I196" s="76" t="n"/>
      <c r="J196" s="76" t="n"/>
    </row>
    <row r="197" s="85">
      <c r="A197" s="27" t="n"/>
      <c r="B197" s="28" t="inlineStr">
        <is>
          <t>Varena</t>
        </is>
      </c>
      <c r="C197" s="56" t="inlineStr">
        <is>
          <t>The Future</t>
        </is>
      </c>
      <c r="D197" s="63" t="inlineStr">
        <is>
          <t>SHOT +10% and Draw 1 card when playing a Move card.
SHOT -10% while Passing.</t>
        </is>
      </c>
      <c r="E197" s="58" t="inlineStr">
        <is>
          <t>You may Discard 1 card during a three attempt to make it worth four pts (at SHOT-10%)</t>
        </is>
      </c>
      <c r="F197" s="61" t="n">
        <v>0</v>
      </c>
      <c r="G197" s="75" t="inlineStr">
        <is>
          <t>New in the SHOT audit (2026-09-14). Special Moves count as Moves · Shelved while the venue is redesigned</t>
        </is>
      </c>
      <c r="H197" s="76" t="n"/>
      <c r="I197" s="76" t="n"/>
      <c r="J197" s="76" t="n"/>
    </row>
    <row r="198" s="85">
      <c r="A198" s="27" t="n"/>
      <c r="B198" s="28" t="inlineStr">
        <is>
          <t>Varena</t>
        </is>
      </c>
      <c r="C198" s="56" t="inlineStr">
        <is>
          <t>Tick-Tock Tile</t>
        </is>
      </c>
      <c r="D198" s="63" t="inlineStr">
        <is>
          <t>Playing any card also ticks the Shot Clock</t>
        </is>
      </c>
      <c r="E198" s="58" t="n"/>
      <c r="F198" s="61" t="n">
        <v>0</v>
      </c>
      <c r="G198" s="75" t="inlineStr">
        <is>
          <t>The tick is paid after the card resolves, so a shot at 01 still goes up · Shelved while the venue is redesigned</t>
        </is>
      </c>
      <c r="H198" s="76" t="n"/>
      <c r="I198" s="76" t="n"/>
      <c r="J198" s="76" t="n"/>
    </row>
    <row r="199" s="85">
      <c r="A199" s="52" t="inlineStr">
        <is>
          <t>Variaball</t>
        </is>
      </c>
      <c r="B199" s="53">
        <f>COUNTIF($B$191:$B$208,"Variaball")</f>
        <v/>
      </c>
      <c r="C199" s="54" t="n"/>
      <c r="D199" s="54" t="n"/>
      <c r="E199" s="54" t="n"/>
      <c r="F199" s="55" t="n"/>
      <c r="G199" s="66" t="n"/>
      <c r="H199" s="67" t="n"/>
      <c r="I199" s="67" t="n"/>
      <c r="J199" s="67" t="n"/>
    </row>
    <row r="200" s="85">
      <c r="A200" s="27" t="n"/>
      <c r="B200" s="28" t="inlineStr">
        <is>
          <t>Variaball</t>
        </is>
      </c>
      <c r="C200" s="56" t="inlineStr">
        <is>
          <t>Med Ball</t>
        </is>
      </c>
      <c r="D200" s="63" t="inlineStr">
        <is>
          <t>SHOT cannot exceed 50%. Move cards never Travel</t>
        </is>
      </c>
      <c r="E200" s="58" t="n"/>
      <c r="F200" s="61" t="n">
        <v>1</v>
      </c>
      <c r="G200" s="75" t="inlineStr">
        <is>
          <t>An Intangible's or a Varena's SHOT = is not held to it</t>
        </is>
      </c>
      <c r="H200" s="76" t="n"/>
      <c r="I200" s="76" t="n"/>
      <c r="J200" s="76" t="n"/>
    </row>
    <row r="201" s="85">
      <c r="A201" s="27" t="n"/>
      <c r="B201" s="28" t="inlineStr">
        <is>
          <t>Variaball</t>
        </is>
      </c>
      <c r="C201" s="56" t="inlineStr">
        <is>
          <t>Dishcount Ball</t>
        </is>
      </c>
      <c r="D201" s="63" t="inlineStr">
        <is>
          <t>Discard one fewer for card costs and Clamps</t>
        </is>
      </c>
      <c r="E201" s="58" t="n"/>
      <c r="F201" s="61" t="n">
        <v>1</v>
      </c>
      <c r="G201" s="75" t="inlineStr">
        <is>
          <t>Counts: Clamps, Pound Dribble, Frostbite Finish, Stepback, Turnaround Three</t>
        </is>
      </c>
      <c r="H201" s="76" t="n"/>
      <c r="I201" s="76" t="n"/>
      <c r="J201" s="76" t="n"/>
    </row>
    <row r="202" s="85">
      <c r="A202" s="27" t="n"/>
      <c r="B202" s="28" t="inlineStr">
        <is>
          <t>Variaball</t>
        </is>
      </c>
      <c r="C202" s="56" t="inlineStr">
        <is>
          <t>Blight Ball</t>
        </is>
      </c>
      <c r="D202" s="63" t="inlineStr">
        <is>
          <t>Injuries travel with the ball, and new ones join the pile. Discarding the ball takes the pile with it</t>
        </is>
      </c>
      <c r="E202" s="58" t="n"/>
      <c r="F202" s="61" t="n">
        <v>1</v>
      </c>
      <c r="G202" s="75" t="inlineStr">
        <is>
          <t>Moves on any change of hands</t>
        </is>
      </c>
      <c r="H202" s="76" t="n"/>
      <c r="I202" s="76" t="n"/>
      <c r="J202" s="76" t="n"/>
    </row>
    <row r="203" s="85">
      <c r="A203" s="27" t="n"/>
      <c r="B203" s="28" t="inlineStr">
        <is>
          <t>Variaball</t>
        </is>
      </c>
      <c r="C203" s="56" t="inlineStr">
        <is>
          <t>Bench Ball</t>
        </is>
      </c>
      <c r="D203" s="63" t="inlineStr">
        <is>
          <t>Receiving it by Pass: no draw, no turn. You inbound</t>
        </is>
      </c>
      <c r="E203" s="58" t="n"/>
      <c r="F203" s="61" t="n">
        <v>1</v>
      </c>
      <c r="G203" s="75" t="n"/>
      <c r="H203" s="76" t="n"/>
      <c r="I203" s="76" t="n"/>
      <c r="J203" s="76" t="n"/>
    </row>
    <row r="204" s="85">
      <c r="A204" s="27" t="n"/>
      <c r="B204" s="28" t="inlineStr">
        <is>
          <t>Variaball</t>
        </is>
      </c>
      <c r="C204" s="56" t="inlineStr">
        <is>
          <t>Dishtracting Ball</t>
        </is>
      </c>
      <c r="D204" s="63" t="inlineStr">
        <is>
          <t>Shooting: Discard 1 card</t>
        </is>
      </c>
      <c r="E204" s="58" t="n"/>
      <c r="F204" s="61" t="n">
        <v>1</v>
      </c>
      <c r="G204" s="75" t="inlineStr">
        <is>
          <t>Any change of hands</t>
        </is>
      </c>
      <c r="H204" s="76" t="n"/>
      <c r="I204" s="76" t="n"/>
      <c r="J204" s="76" t="n"/>
    </row>
    <row r="205" s="85">
      <c r="A205" s="27" t="n"/>
      <c r="B205" s="28" t="inlineStr">
        <is>
          <t>Variaball</t>
        </is>
      </c>
      <c r="C205" s="56" t="inlineStr">
        <is>
          <t>Hand Ball</t>
        </is>
      </c>
      <c r="D205" s="63" t="inlineStr">
        <is>
          <t>A Pass swaps hands: yours goes with the ball, theirs comes back</t>
        </is>
      </c>
      <c r="E205" s="58" t="n"/>
      <c r="F205" s="61" t="n">
        <v>1</v>
      </c>
      <c r="G205" s="75" t="n"/>
      <c r="H205" s="76" t="n"/>
      <c r="I205" s="76" t="n"/>
      <c r="J205" s="76" t="n"/>
    </row>
    <row r="206" s="85">
      <c r="A206" s="27" t="n"/>
      <c r="B206" s="28" t="inlineStr">
        <is>
          <t>Variaball</t>
        </is>
      </c>
      <c r="C206" s="56" t="inlineStr">
        <is>
          <t>Foot Ball</t>
        </is>
      </c>
      <c r="D206" s="63" t="inlineStr">
        <is>
          <t>Moves and Passes are not spent. They lock until your possession ends</t>
        </is>
      </c>
      <c r="E206" s="58" t="n"/>
      <c r="F206" s="61" t="n">
        <v>1</v>
      </c>
      <c r="G206" s="75" t="n"/>
      <c r="H206" s="76" t="n"/>
      <c r="I206" s="76" t="n"/>
      <c r="J206" s="76" t="n"/>
    </row>
    <row r="207" s="85">
      <c r="A207" s="27" t="n"/>
      <c r="B207" s="28" t="inlineStr">
        <is>
          <t>Variaball</t>
        </is>
      </c>
      <c r="C207" s="56" t="inlineStr">
        <is>
          <t>Recharge Rock</t>
        </is>
      </c>
      <c r="D207" s="63" t="inlineStr">
        <is>
          <t>Double your draw for turn</t>
        </is>
      </c>
      <c r="E207" s="58" t="n"/>
      <c r="F207" s="61" t="n">
        <v>1</v>
      </c>
      <c r="G207" s="75" t="n"/>
      <c r="H207" s="76" t="n"/>
      <c r="I207" s="76" t="n"/>
      <c r="J207" s="76" t="n"/>
    </row>
    <row r="208" s="85">
      <c r="A208" s="27" t="n"/>
      <c r="B208" s="28" t="inlineStr">
        <is>
          <t>Variaball</t>
        </is>
      </c>
      <c r="C208" s="56" t="inlineStr">
        <is>
          <t>Variaball</t>
        </is>
      </c>
      <c r="D208" s="63" t="inlineStr">
        <is>
          <t>A random Variaball from the discards goes into play. Then discard this</t>
        </is>
      </c>
      <c r="E208" s="58" t="n"/>
      <c r="F208" s="61" t="n">
        <v>1</v>
      </c>
      <c r="G208" s="75" t="inlineStr">
        <is>
          <t>From the deck if the discards have none; never the ball already in play</t>
        </is>
      </c>
      <c r="H208" s="76" t="n"/>
      <c r="I208" s="76" t="n"/>
      <c r="J208" s="76" t="n"/>
    </row>
    <row r="209">
      <c r="A209" s="27" t="n"/>
      <c r="B209" s="28" t="inlineStr">
        <is>
          <t>Variaball</t>
        </is>
      </c>
      <c r="C209" s="56" t="inlineStr">
        <is>
          <t>Shufflebag Ball</t>
        </is>
      </c>
      <c r="D209" s="63" t="inlineStr">
        <is>
          <t>Every possession, the turn player shuffles their hand into the deck and Draws the same number, then draws for turn</t>
        </is>
      </c>
      <c r="E209" s="58" t="n"/>
      <c r="F209" s="61" t="n">
        <v>1</v>
      </c>
      <c r="G209" s="75" t="n"/>
      <c r="H209" s="76" t="n"/>
      <c r="I209" s="76" t="n"/>
      <c r="J209" s="76" t="n"/>
    </row>
    <row r="210">
      <c r="A210" s="27" t="n"/>
      <c r="B210" s="28" t="inlineStr">
        <is>
          <t>Variaball</t>
        </is>
      </c>
      <c r="C210" s="56" t="inlineStr">
        <is>
          <t>Bag'n Ball</t>
        </is>
      </c>
      <c r="D210" s="63" t="inlineStr">
        <is>
          <t>Draw 1 card when played. SHOT = 10% for each card in your hand</t>
        </is>
      </c>
      <c r="E210" s="58" t="n"/>
      <c r="F210" s="61" t="n">
        <v>1</v>
      </c>
      <c r="G210" s="75" t="n"/>
      <c r="H210" s="76" t="n"/>
      <c r="I210" s="76" t="n"/>
      <c r="J210" s="76" t="n"/>
    </row>
    <row r="211">
      <c r="A211" s="27" t="n"/>
      <c r="B211" s="28" t="inlineStr">
        <is>
          <t>Variaball</t>
        </is>
      </c>
      <c r="C211" s="56" t="inlineStr">
        <is>
          <t>Blaze Ball</t>
        </is>
      </c>
      <c r="D211" s="63" t="inlineStr">
        <is>
          <t>SHOT +10% as this Ball is Passed</t>
        </is>
      </c>
      <c r="E211" s="58" t="n"/>
      <c r="F211" s="61" t="n">
        <v>1</v>
      </c>
      <c r="G211" s="75" t="inlineStr">
        <is>
          <t>Ignores every other pass modifier</t>
        </is>
      </c>
      <c r="H211" s="76" t="n"/>
      <c r="I211" s="76" t="n"/>
      <c r="J211" s="76" t="n"/>
    </row>
    <row r="212">
      <c r="A212" s="27" t="n"/>
      <c r="B212" s="28" t="inlineStr">
        <is>
          <t>Variaball</t>
        </is>
      </c>
      <c r="C212" s="56" t="inlineStr">
        <is>
          <t>Snow Ball</t>
        </is>
      </c>
      <c r="D212" s="63" t="inlineStr">
        <is>
          <t>SHOT -10% as this Ball is Passed</t>
        </is>
      </c>
      <c r="E212" s="58" t="n"/>
      <c r="F212" s="61" t="n">
        <v>1</v>
      </c>
      <c r="G212" s="75" t="inlineStr">
        <is>
          <t>Blaze Ball's opposite</t>
        </is>
      </c>
      <c r="H212" s="76" t="n"/>
      <c r="I212" s="76" t="n"/>
      <c r="J212" s="76" t="n"/>
    </row>
    <row r="213">
      <c r="A213" s="27" t="n"/>
      <c r="B213" s="28" t="inlineStr">
        <is>
          <t>Variaball</t>
        </is>
      </c>
      <c r="C213" s="56" t="inlineStr">
        <is>
          <t>Brick Ball</t>
        </is>
      </c>
      <c r="D213" s="63" t="inlineStr">
        <is>
          <t>SHOT = 25%</t>
        </is>
      </c>
      <c r="E213" s="58" t="n"/>
      <c r="F213" s="61" t="n">
        <v>1</v>
      </c>
      <c r="G213" s="75" t="n"/>
      <c r="H213" s="76" t="n"/>
      <c r="I213" s="76" t="n"/>
      <c r="J213" s="76" t="n"/>
    </row>
    <row r="214">
      <c r="A214" s="27" t="n"/>
      <c r="B214" s="28" t="inlineStr">
        <is>
          <t>Variaball</t>
        </is>
      </c>
      <c r="C214" s="56" t="inlineStr">
        <is>
          <t>Monster Ball</t>
        </is>
      </c>
      <c r="D214" s="63" t="inlineStr">
        <is>
          <t>Intangibles are absorbed into the ball. When it's discarded, players Rebound for them one at a time</t>
        </is>
      </c>
      <c r="E214" s="58" t="n"/>
      <c r="F214" s="61" t="n">
        <v>1</v>
      </c>
      <c r="G214" s="75" t="inlineStr">
        <is>
          <t>Swallows every Intangible already out and every one drawn while it's in play</t>
        </is>
      </c>
      <c r="H214" s="76" t="n"/>
      <c r="I214" s="76" t="n"/>
      <c r="J214" s="76" t="n"/>
    </row>
    <row r="215">
      <c r="A215" s="27" t="n"/>
      <c r="B215" s="28" t="inlineStr">
        <is>
          <t>Variaball</t>
        </is>
      </c>
      <c r="C215" s="56" t="inlineStr">
        <is>
          <t>Brand New Ball</t>
        </is>
      </c>
      <c r="D215" s="63" t="inlineStr">
        <is>
          <t>25% chance a shot attempt is a turnover instead</t>
        </is>
      </c>
      <c r="E215" s="58" t="n"/>
      <c r="F215" s="61" t="n">
        <v>1</v>
      </c>
      <c r="G215" s="75" t="inlineStr">
        <is>
          <t>The round ends</t>
        </is>
      </c>
      <c r="H215" s="76" t="n"/>
      <c r="I215" s="76" t="n"/>
      <c r="J215" s="76" t="n"/>
    </row>
    <row r="216">
      <c r="A216" s="27" t="n"/>
      <c r="B216" s="28" t="inlineStr">
        <is>
          <t>Variaball</t>
        </is>
      </c>
      <c r="C216" s="56" t="inlineStr">
        <is>
          <t>Make-or-Take Ball</t>
        </is>
      </c>
      <c r="D216" s="63" t="inlineStr">
        <is>
          <t>Take 1 FT after missing a shot attempt.</t>
        </is>
      </c>
      <c r="E216" s="58" t="n"/>
      <c r="F216" s="61" t="n">
        <v>1</v>
      </c>
      <c r="G216" s="75" t="n"/>
      <c r="H216" s="76" t="n"/>
      <c r="I216" s="76" t="n"/>
      <c r="J216" s="76" t="n"/>
    </row>
    <row r="217">
      <c r="A217" s="27" t="n"/>
      <c r="B217" s="28" t="inlineStr">
        <is>
          <t>Variaball</t>
        </is>
      </c>
      <c r="C217" s="56" t="inlineStr">
        <is>
          <t>Hero Ball</t>
        </is>
      </c>
      <c r="D217" s="63" t="inlineStr">
        <is>
          <t>Cannot play Pass cards. Made shots grant no AST. SHOT +25% while shooting. Draw 1 extra when this Ball is rebounded</t>
        </is>
      </c>
      <c r="E217" s="58" t="n"/>
      <c r="F217" s="61" t="n">
        <v>1</v>
      </c>
      <c r="G217" s="75" t="n"/>
      <c r="H217" s="76" t="n"/>
      <c r="I217" s="76" t="n"/>
      <c r="J217" s="76" t="n"/>
    </row>
  </sheetData>
  <mergeCells count="186">
    <mergeCell ref="G55:J55"/>
    <mergeCell ref="G200:J200"/>
    <mergeCell ref="G188:J188"/>
    <mergeCell ref="G4:J4"/>
    <mergeCell ref="G182:J182"/>
    <mergeCell ref="G135:J135"/>
    <mergeCell ref="G109:J109"/>
    <mergeCell ref="G47:J47"/>
    <mergeCell ref="G119:J119"/>
    <mergeCell ref="G32:J32"/>
    <mergeCell ref="G150:J150"/>
    <mergeCell ref="G202:J202"/>
    <mergeCell ref="G46:J46"/>
    <mergeCell ref="G40:J40"/>
    <mergeCell ref="G111:J111"/>
    <mergeCell ref="G72:J72"/>
    <mergeCell ref="G81:J81"/>
    <mergeCell ref="G208:J208"/>
    <mergeCell ref="G161:J161"/>
    <mergeCell ref="G71:J71"/>
    <mergeCell ref="G136:J136"/>
    <mergeCell ref="G194:J194"/>
    <mergeCell ref="G145:J145"/>
    <mergeCell ref="G181:J181"/>
    <mergeCell ref="G8:J8"/>
    <mergeCell ref="G160:J160"/>
    <mergeCell ref="G82:J82"/>
    <mergeCell ref="G174:J174"/>
    <mergeCell ref="G57:J57"/>
    <mergeCell ref="G128:J128"/>
    <mergeCell ref="G10:J10"/>
    <mergeCell ref="G66:J66"/>
    <mergeCell ref="G184:J184"/>
    <mergeCell ref="G137:J137"/>
    <mergeCell ref="G171:J171"/>
    <mergeCell ref="G53:J53"/>
    <mergeCell ref="G146:J146"/>
    <mergeCell ref="G18:J18"/>
    <mergeCell ref="G189:J189"/>
    <mergeCell ref="G121:J121"/>
    <mergeCell ref="G34:J34"/>
    <mergeCell ref="G74:J74"/>
    <mergeCell ref="G68:J68"/>
    <mergeCell ref="G139:J139"/>
    <mergeCell ref="G108:J108"/>
    <mergeCell ref="G58:J58"/>
    <mergeCell ref="G114:J114"/>
    <mergeCell ref="G123:J123"/>
    <mergeCell ref="G207:J207"/>
    <mergeCell ref="G163:J163"/>
    <mergeCell ref="G110:J110"/>
    <mergeCell ref="G168:J168"/>
    <mergeCell ref="G113:J113"/>
    <mergeCell ref="G20:J20"/>
    <mergeCell ref="G91:J91"/>
    <mergeCell ref="G143:J143"/>
    <mergeCell ref="G85:J85"/>
    <mergeCell ref="G100:J100"/>
    <mergeCell ref="G183:J183"/>
    <mergeCell ref="G165:J165"/>
    <mergeCell ref="G75:J75"/>
    <mergeCell ref="G44:J44"/>
    <mergeCell ref="G84:J84"/>
    <mergeCell ref="G22:J22"/>
    <mergeCell ref="G193:J193"/>
    <mergeCell ref="G149:J149"/>
    <mergeCell ref="G102:J102"/>
    <mergeCell ref="G185:J185"/>
    <mergeCell ref="G12:J12"/>
    <mergeCell ref="G77:J77"/>
    <mergeCell ref="G21:J21"/>
    <mergeCell ref="G86:J86"/>
    <mergeCell ref="G178:J178"/>
    <mergeCell ref="G67:J67"/>
    <mergeCell ref="G61:J61"/>
    <mergeCell ref="G70:J70"/>
    <mergeCell ref="G48:J48"/>
    <mergeCell ref="G23:J23"/>
    <mergeCell ref="G176:J176"/>
    <mergeCell ref="G97:J97"/>
    <mergeCell ref="G125:J125"/>
    <mergeCell ref="G7:J7"/>
    <mergeCell ref="G38:J38"/>
    <mergeCell ref="G191:J191"/>
    <mergeCell ref="G112:J112"/>
    <mergeCell ref="G62:J62"/>
    <mergeCell ref="G175:J175"/>
    <mergeCell ref="G127:J127"/>
    <mergeCell ref="G162:J162"/>
    <mergeCell ref="G49:J49"/>
    <mergeCell ref="G24:J24"/>
    <mergeCell ref="G195:J195"/>
    <mergeCell ref="G177:J177"/>
    <mergeCell ref="G33:J33"/>
    <mergeCell ref="G204:J204"/>
    <mergeCell ref="G104:J104"/>
    <mergeCell ref="G65:J65"/>
    <mergeCell ref="G201:J201"/>
    <mergeCell ref="G88:J88"/>
    <mergeCell ref="G26:J26"/>
    <mergeCell ref="G197:J197"/>
    <mergeCell ref="G35:J35"/>
    <mergeCell ref="G206:J206"/>
    <mergeCell ref="G129:J129"/>
    <mergeCell ref="G16:J16"/>
    <mergeCell ref="G138:J138"/>
    <mergeCell ref="G76:J76"/>
    <mergeCell ref="G25:J25"/>
    <mergeCell ref="G203:J203"/>
    <mergeCell ref="G90:J90"/>
    <mergeCell ref="G60:J60"/>
    <mergeCell ref="G9:J9"/>
    <mergeCell ref="G131:J131"/>
    <mergeCell ref="G140:J140"/>
    <mergeCell ref="G198:J198"/>
    <mergeCell ref="G59:J59"/>
    <mergeCell ref="G115:J115"/>
    <mergeCell ref="G130:J130"/>
    <mergeCell ref="G11:J11"/>
    <mergeCell ref="G117:J117"/>
    <mergeCell ref="G169:J169"/>
    <mergeCell ref="G179:J179"/>
    <mergeCell ref="G126:J126"/>
    <mergeCell ref="G39:J39"/>
    <mergeCell ref="G132:J132"/>
    <mergeCell ref="G122:J122"/>
    <mergeCell ref="G166:J166"/>
    <mergeCell ref="G101:J101"/>
    <mergeCell ref="G116:J116"/>
    <mergeCell ref="G199:J199"/>
    <mergeCell ref="G103:J103"/>
    <mergeCell ref="G37:J37"/>
    <mergeCell ref="G186:J186"/>
    <mergeCell ref="A4:B4"/>
    <mergeCell ref="G13:J13"/>
    <mergeCell ref="G78:J78"/>
    <mergeCell ref="G118:J118"/>
    <mergeCell ref="G87:J87"/>
    <mergeCell ref="G167:J167"/>
    <mergeCell ref="G15:J15"/>
    <mergeCell ref="G142:J142"/>
    <mergeCell ref="G80:J80"/>
    <mergeCell ref="G89:J89"/>
    <mergeCell ref="G64:J64"/>
    <mergeCell ref="G79:J79"/>
    <mergeCell ref="G192:J192"/>
    <mergeCell ref="G73:J73"/>
    <mergeCell ref="G51:J51"/>
    <mergeCell ref="G144:J144"/>
    <mergeCell ref="G54:J54"/>
    <mergeCell ref="G63:J63"/>
    <mergeCell ref="G41:J41"/>
    <mergeCell ref="G134:J134"/>
    <mergeCell ref="G50:J50"/>
    <mergeCell ref="G164:J164"/>
    <mergeCell ref="G106:J106"/>
    <mergeCell ref="G173:J173"/>
    <mergeCell ref="G56:J56"/>
    <mergeCell ref="G14:J14"/>
    <mergeCell ref="G105:J105"/>
    <mergeCell ref="G43:J43"/>
    <mergeCell ref="G52:J52"/>
    <mergeCell ref="G27:J27"/>
    <mergeCell ref="G120:J120"/>
    <mergeCell ref="G36:J36"/>
    <mergeCell ref="G42:J42"/>
    <mergeCell ref="G107:J107"/>
    <mergeCell ref="G17:J17"/>
    <mergeCell ref="G170:J170"/>
    <mergeCell ref="G141:J141"/>
    <mergeCell ref="G19:J19"/>
    <mergeCell ref="G172:J172"/>
    <mergeCell ref="G190:J190"/>
    <mergeCell ref="G28:J28"/>
    <mergeCell ref="G93:J93"/>
    <mergeCell ref="G6:J6"/>
    <mergeCell ref="G187:J187"/>
    <mergeCell ref="G69:J69"/>
    <mergeCell ref="G83:J83"/>
    <mergeCell ref="G196:J196"/>
    <mergeCell ref="G205:J205"/>
    <mergeCell ref="G124:J124"/>
    <mergeCell ref="G180:J180"/>
    <mergeCell ref="G5:J5"/>
    <mergeCell ref="G133:J133"/>
    <mergeCell ref="G45:J45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2026-09-16T20:58:28Z</dcterms:modified>
  <cp:lastModifiedBy>Montre Smith</cp:lastModifiedBy>
</cp:coreProperties>
</file>