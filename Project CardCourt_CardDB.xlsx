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8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n"/>
      <c r="F23" s="32" t="n">
        <v>16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1 card.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+10%. Clear all clamps on you. Draw 2 cards and Shot Clock -01 for each.</t>
        </is>
      </c>
      <c r="E27" s="6" t="n"/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1 card.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2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You may Discard 1 card for SHOT +10% extra.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Pick 1: Draw 3 cards / Pass (+0%) / SHOT +30%. (Cannot play other Move cards this possession.)</t>
        </is>
      </c>
      <c r="E33" s="25" t="n"/>
      <c r="F33" s="36" t="n">
        <v>10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• Heads: SHOT +25%
• Tails: SHOT -25%</t>
        </is>
      </c>
      <c r="E36" s="25" t="n"/>
      <c r="F36" s="36" t="n">
        <v>5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n"/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5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
• 3 or fewer Heads: SHOT +15% and Draw 1 card for each.
• 4 Heads: TOV +1 (This is a Travel)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If all other players have had possession of the Ball this round: SHOT = 100%</t>
        </is>
      </c>
      <c r="E48" s="58" t="n"/>
      <c r="F48" s="59" t="n">
        <v>5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
SHOT less than 50%: SHOT -25%</t>
        </is>
      </c>
      <c r="E51" s="0" t="n"/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COUNTIF($B$63:$B$158,"Whistle")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Extravagant Mechanics</t>
        </is>
      </c>
      <c r="D80" s="25" t="inlineStr">
        <is>
          <t>Intangible, Varena, Variaball or Special Move Played: Cancel card.</t>
        </is>
      </c>
      <c r="E80" s="26" t="n"/>
      <c r="F80" s="50" t="n"/>
      <c r="G80" s="72" t="n"/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27" t="n"/>
      <c r="B83" s="28" t="inlineStr">
        <is>
          <t>Whistle</t>
        </is>
      </c>
      <c r="C83" s="29" t="inlineStr">
        <is>
          <t>Tile Tampering</t>
        </is>
      </c>
      <c r="D83" s="30" t="inlineStr">
        <is>
          <t>Varena Played: Cancel card. TOV +1</t>
        </is>
      </c>
      <c r="E83" s="60" t="n"/>
      <c r="F83" s="61" t="n"/>
      <c r="G83" s="78" t="inlineStr">
        <is>
          <t>The Varena's player inbounds (side-out)</t>
        </is>
      </c>
      <c r="H83" s="76" t="n"/>
      <c r="I83" s="76" t="n"/>
      <c r="J83" s="76" t="n"/>
    </row>
    <row r="84" ht="28" customHeight="1" s="85">
      <c r="A84" s="27" t="n"/>
      <c r="B84" s="28" t="inlineStr">
        <is>
          <t>Whistle</t>
        </is>
      </c>
      <c r="C84" s="29" t="inlineStr">
        <is>
          <t>Over-Varing Evidence</t>
        </is>
      </c>
      <c r="D84" s="30" t="inlineStr">
        <is>
          <t>Variaball Played: Cancel card. TOV +1</t>
        </is>
      </c>
      <c r="E84" s="60" t="n"/>
      <c r="F84" s="61" t="n"/>
      <c r="G84" s="78" t="inlineStr">
        <is>
          <t>The Variaball's player inbounds (side-out)</t>
        </is>
      </c>
      <c r="H84" s="76" t="n"/>
      <c r="I84" s="76" t="n"/>
      <c r="J84" s="76" t="n"/>
    </row>
    <row r="85" ht="28" customHeight="1" s="85">
      <c r="A85" s="52" t="inlineStr">
        <is>
          <t>Retired Game Breaks</t>
        </is>
      </c>
      <c r="B85" s="53">
        <f>COUNTIF($B$86:$B$115,"Retired Game Break")</f>
        <v/>
      </c>
      <c r="C85" s="54" t="n"/>
      <c r="D85" s="54" t="n"/>
      <c r="E85" s="54" t="n"/>
      <c r="F85" s="55" t="n"/>
      <c r="G85" s="66" t="n"/>
      <c r="H85" s="67" t="n"/>
      <c r="I85" s="67" t="n"/>
      <c r="J85" s="67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2-Minute Warning</t>
        </is>
      </c>
      <c r="D86" s="25" t="inlineStr">
        <is>
          <t>All players discard down to 2 or fewer cards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28" customHeight="1" s="85">
      <c r="A87" s="21" t="n"/>
      <c r="B87" s="22" t="inlineStr">
        <is>
          <t>Retired Game Break</t>
        </is>
      </c>
      <c r="C87" s="23" t="inlineStr">
        <is>
          <t>Benched</t>
        </is>
      </c>
      <c r="D87" s="6" t="inlineStr">
        <is>
          <t>Immediately give ball to any other player.</t>
        </is>
      </c>
      <c r="E87" s="7" t="n"/>
      <c r="F87" s="34" t="n">
        <v>0</v>
      </c>
      <c r="G87" s="74" t="inlineStr">
        <is>
          <t>This is not a pass</t>
        </is>
      </c>
      <c r="H87" s="71" t="n"/>
      <c r="I87" s="71" t="n"/>
      <c r="J87" s="71" t="n"/>
    </row>
    <row r="88" ht="20" customHeight="1" s="85">
      <c r="A88" s="21" t="n"/>
      <c r="B88" s="22" t="inlineStr">
        <is>
          <t>Retired Game Break</t>
        </is>
      </c>
      <c r="C88" s="24" t="inlineStr">
        <is>
          <t>Crowd Noise</t>
        </is>
      </c>
      <c r="D88" s="25" t="inlineStr">
        <is>
          <t>Discard 1 card.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42" customHeight="1" s="85">
      <c r="A89" s="21" t="n"/>
      <c r="B89" s="22" t="inlineStr">
        <is>
          <t>Retired Game Break</t>
        </is>
      </c>
      <c r="C89" s="23" t="inlineStr">
        <is>
          <t>Designed Play</t>
        </is>
      </c>
      <c r="D89" s="6" t="inlineStr">
        <is>
          <t>Draw up to a hand of 5</t>
        </is>
      </c>
      <c r="E89" s="7" t="n"/>
      <c r="F89" s="34" t="n">
        <v>0</v>
      </c>
      <c r="G89" s="70" t="n"/>
      <c r="H89" s="71" t="n"/>
      <c r="I89" s="71" t="n"/>
      <c r="J89" s="71" t="n"/>
    </row>
    <row r="90" ht="28" customHeight="1" s="85">
      <c r="A90" s="21" t="n"/>
      <c r="B90" s="22" t="inlineStr">
        <is>
          <t>Retired Game Break</t>
        </is>
      </c>
      <c r="C90" s="37" t="inlineStr">
        <is>
          <t>Foul</t>
        </is>
      </c>
      <c r="D90" s="25" t="inlineStr">
        <is>
          <t>Take 1 FT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23" t="inlineStr">
        <is>
          <t>MVP Vote</t>
        </is>
      </c>
      <c r="D91" s="6" t="inlineStr">
        <is>
          <t>Draw 3 cards up to a hand of 7</t>
        </is>
      </c>
      <c r="E91" s="7" t="n"/>
      <c r="F91" s="34" t="n">
        <v>0</v>
      </c>
      <c r="G91" s="70" t="n"/>
      <c r="H91" s="71" t="n"/>
      <c r="I91" s="71" t="n"/>
      <c r="J91" s="71" t="n"/>
    </row>
    <row r="92" ht="42" customHeight="1" s="85">
      <c r="A92" s="21" t="n"/>
      <c r="B92" s="22" t="inlineStr">
        <is>
          <t>Retired Game Break</t>
        </is>
      </c>
      <c r="C92" s="24" t="inlineStr">
        <is>
          <t>Off Night</t>
        </is>
      </c>
      <c r="D92" s="25" t="inlineStr">
        <is>
          <t>SHOT -20% this possession</t>
        </is>
      </c>
      <c r="E92" s="26" t="n"/>
      <c r="F92" s="33" t="n">
        <v>0</v>
      </c>
      <c r="G92" s="72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23" t="inlineStr">
        <is>
          <t>Swallowed Whistle</t>
        </is>
      </c>
      <c r="D93" s="6" t="inlineStr">
        <is>
          <t>Whistle cards cannot activate this turn.</t>
        </is>
      </c>
      <c r="E93" s="6" t="inlineStr">
        <is>
          <t>Remains for remainder of round</t>
        </is>
      </c>
      <c r="F93" s="32" t="n">
        <v>0</v>
      </c>
      <c r="G93" s="70" t="n"/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24" t="inlineStr">
        <is>
          <t>Rock Fight</t>
        </is>
      </c>
      <c r="D94" s="25" t="inlineStr">
        <is>
          <t>Players cannot shoot when SHOT is above 50%</t>
        </is>
      </c>
      <c r="E94" s="25" t="inlineStr">
        <is>
          <t>Remains for remainder of round</t>
        </is>
      </c>
      <c r="F94" s="36" t="n">
        <v>0</v>
      </c>
      <c r="G94" s="72" t="n"/>
      <c r="H94" s="71" t="n"/>
      <c r="I94" s="71" t="n"/>
      <c r="J94" s="71" t="n"/>
    </row>
    <row r="95" ht="28" customHeight="1" s="85">
      <c r="A95" s="21" t="n"/>
      <c r="B95" s="22" t="inlineStr">
        <is>
          <t>Retired Game Break</t>
        </is>
      </c>
      <c r="C95" s="23" t="inlineStr">
        <is>
          <t>Traded Mid-Game</t>
        </is>
      </c>
      <c r="D95" s="6" t="inlineStr">
        <is>
          <t>Swap hands with a random other player</t>
        </is>
      </c>
      <c r="E95" s="7" t="n"/>
      <c r="F95" s="34" t="n">
        <v>0</v>
      </c>
      <c r="G95" s="74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49" t="inlineStr">
        <is>
          <t>Salary Cap Increase</t>
        </is>
      </c>
      <c r="D96" s="38" t="inlineStr">
        <is>
          <t>All players 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49" t="inlineStr">
        <is>
          <t>All-Swissh Selection</t>
        </is>
      </c>
      <c r="D97" s="38" t="inlineStr">
        <is>
          <t>Draw 3 cards after your next make</t>
        </is>
      </c>
      <c r="E97" s="7" t="n"/>
      <c r="F97" s="34" t="n">
        <v>0</v>
      </c>
      <c r="G97" s="74" t="inlineStr">
        <is>
          <t>Arms an icon in the HUD tracking the pending draws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All Star Selection</t>
        </is>
      </c>
      <c r="D98" s="38" t="inlineStr">
        <is>
          <t>Draw 2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Hit the Bike</t>
        </is>
      </c>
      <c r="D99" s="38" t="inlineStr">
        <is>
          <t>Discard all Injuries. Draw 1 card. Give possession to another player</t>
        </is>
      </c>
      <c r="E99" s="7" t="n"/>
      <c r="F99" s="34" t="n">
        <v>0</v>
      </c>
      <c r="G99" s="74" t="inlineStr">
        <is>
          <t>This is not a pass</t>
        </is>
      </c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49" t="inlineStr">
        <is>
          <t>Ice Wrap</t>
        </is>
      </c>
      <c r="D100" s="38" t="inlineStr">
        <is>
          <t>Draw 1 card. Discard all Injuries. If none, draw 1 additional card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49" t="inlineStr">
        <is>
          <t>Wet Spot</t>
        </is>
      </c>
      <c r="D101" s="38" t="inlineStr">
        <is>
          <t>All Injuries in the discards and deck are displayed. Take one</t>
        </is>
      </c>
      <c r="E101" s="7" t="n"/>
      <c r="F101" s="34" t="n">
        <v>0</v>
      </c>
      <c r="G101" s="74" t="inlineStr">
        <is>
          <t>Deck ones are shown face down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Fresh Ball</t>
        </is>
      </c>
      <c r="D102" s="38" t="inlineStr">
        <is>
          <t>Next player does not draw at the start of their possession</t>
        </is>
      </c>
      <c r="E102" s="7" t="n"/>
      <c r="F102" s="34" t="n">
        <v>0</v>
      </c>
      <c r="G102" s="74" t="inlineStr">
        <is>
          <t>This is a bad thing in the NBA</t>
        </is>
      </c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Trade Deadline</t>
        </is>
      </c>
      <c r="D103" s="38" t="inlineStr">
        <is>
          <t>Declare Left or Right: every player passes their hand that way. The ball goes with it</t>
        </is>
      </c>
      <c r="E103" s="7" t="n"/>
      <c r="F103" s="34" t="n">
        <v>0</v>
      </c>
      <c r="G103" s="74" t="inlineStr">
        <is>
          <t>The hex travels in the declared direction too</t>
        </is>
      </c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Floor Cleanup</t>
        </is>
      </c>
      <c r="D104" s="38" t="inlineStr">
        <is>
          <t>All players shuffle their hands into the deck and draw the same number of cards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Official Timeout</t>
        </is>
      </c>
      <c r="D105" s="38" t="inlineStr">
        <is>
          <t>At least 1 referee must be armed: discard all Injuries on all players and clear all referees. If none, all players draw 1 card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Team Doctor</t>
        </is>
      </c>
      <c r="D106" s="38" t="inlineStr">
        <is>
          <t>Discard 1 Injury from a player of choice. Draw 2 cards if not choosing yourself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Altercation</t>
        </is>
      </c>
      <c r="D107" s="38" t="inlineStr">
        <is>
          <t>Select another player: you and that player each discard 1 card at random. Inbound the ball to a player other than that target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Huge Altercation</t>
        </is>
      </c>
      <c r="D108" s="38" t="inlineStr">
        <is>
          <t>All players discard their hands. If a ref is armed, all players receive 1 TOV. Inbound the ball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Home Court Advantage</t>
        </is>
      </c>
      <c r="D109" s="38" t="inlineStr">
        <is>
          <t>SHOT + 25%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Away Game</t>
        </is>
      </c>
      <c r="D110" s="38" t="inlineStr">
        <is>
          <t>SHOT - 10%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Mic'd Up</t>
        </is>
      </c>
      <c r="D111" s="38" t="inlineStr">
        <is>
          <t>SHOT + 10% until passed or shot</t>
        </is>
      </c>
      <c r="E111" s="7" t="n"/>
      <c r="F111" s="34" t="n">
        <v>0</v>
      </c>
      <c r="G111" s="74" t="inlineStr">
        <is>
          <t>The boost is the holder's alone and does not travel with a pass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In The Zone</t>
        </is>
      </c>
      <c r="D112" s="38" t="inlineStr">
        <is>
          <t>Draw 1 card for each 10% SHOT the ball has, rounded down. Minimum 1</t>
        </is>
      </c>
      <c r="E112" s="7" t="n"/>
      <c r="F112" s="34" t="n">
        <v>0</v>
      </c>
      <c r="G112" s="74" t="n"/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Role Player</t>
        </is>
      </c>
      <c r="D113" s="38" t="inlineStr">
        <is>
          <t>All other players draw 1 card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7" t="n"/>
      <c r="B114" s="28" t="inlineStr">
        <is>
          <t>Retired Game Break</t>
        </is>
      </c>
      <c r="C114" s="62" t="inlineStr">
        <is>
          <t>Back-and-Forth Game</t>
        </is>
      </c>
      <c r="D114" s="63" t="inlineStr">
        <is>
          <t>Discard the next 3 Game Breaks. Whoever draws one draws again</t>
        </is>
      </c>
      <c r="E114" s="58" t="n"/>
      <c r="F114" s="59" t="n">
        <v>0</v>
      </c>
      <c r="G114" s="79" t="n"/>
      <c r="H114" s="76" t="n"/>
      <c r="I114" s="76" t="n"/>
      <c r="J114" s="76" t="n"/>
    </row>
    <row r="115" ht="42" customHeight="1" s="85">
      <c r="A115" s="27" t="n"/>
      <c r="B115" s="28" t="inlineStr">
        <is>
          <t>Retired Game Break</t>
        </is>
      </c>
      <c r="C115" s="62" t="inlineStr">
        <is>
          <t>Off the Backboard</t>
        </is>
      </c>
      <c r="D115" s="63" t="inlineStr">
        <is>
          <t>Your next missed shot rebounds itself</t>
        </is>
      </c>
      <c r="E115" s="58" t="n"/>
      <c r="F115" s="59" t="n">
        <v>0</v>
      </c>
      <c r="G115" s="79" t="n"/>
      <c r="H115" s="76" t="n"/>
      <c r="I115" s="76" t="n"/>
      <c r="J115" s="76" t="n"/>
    </row>
    <row r="116" ht="56" customHeight="1" s="85">
      <c r="A116" s="52" t="inlineStr">
        <is>
          <t>Injury</t>
        </is>
      </c>
      <c r="B116" s="53">
        <f>COUNTIF($B$117:$B$158,"Injury")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57" customHeight="1" s="85">
      <c r="A117" s="27" t="n"/>
      <c r="B117" s="28" t="inlineStr">
        <is>
          <t>Injury</t>
        </is>
      </c>
      <c r="C117" s="56" t="inlineStr">
        <is>
          <t>Bone Bruise</t>
        </is>
      </c>
      <c r="D117" s="63" t="inlineStr">
        <is>
          <t>SHOT -10%</t>
        </is>
      </c>
      <c r="E117" s="58" t="n"/>
      <c r="F117" s="59" t="n">
        <v>2</v>
      </c>
      <c r="G117" s="75" t="n"/>
      <c r="H117" s="76" t="n"/>
      <c r="I117" s="76" t="n"/>
      <c r="J117" s="76" t="n"/>
    </row>
    <row r="118" ht="57" customHeight="1" s="85">
      <c r="A118" s="27" t="n"/>
      <c r="B118" s="28" t="inlineStr">
        <is>
          <t>Injury</t>
        </is>
      </c>
      <c r="C118" s="56" t="inlineStr">
        <is>
          <t>Rolled Ankle</t>
        </is>
      </c>
      <c r="D118" s="63" t="inlineStr">
        <is>
          <t>Discard 1 card to play a Move card</t>
        </is>
      </c>
      <c r="E118" s="58" t="n"/>
      <c r="F118" s="59" t="n">
        <v>2</v>
      </c>
      <c r="G118" s="75" t="n"/>
      <c r="H118" s="76" t="n"/>
      <c r="I118" s="76" t="n"/>
      <c r="J118" s="76" t="n"/>
    </row>
    <row r="119" ht="57" customHeight="1" s="85">
      <c r="A119" s="27" t="n"/>
      <c r="B119" s="28" t="inlineStr">
        <is>
          <t>Injury</t>
        </is>
      </c>
      <c r="C119" s="56" t="inlineStr">
        <is>
          <t>Fractured Collarbone</t>
        </is>
      </c>
      <c r="D119" s="63" t="inlineStr">
        <is>
          <t>Cannot attempt Three-point shots</t>
        </is>
      </c>
      <c r="E119" s="58" t="n"/>
      <c r="F119" s="59" t="n">
        <v>2</v>
      </c>
      <c r="G119" s="75" t="n"/>
      <c r="H119" s="76" t="n"/>
      <c r="I119" s="76" t="n"/>
      <c r="J119" s="76" t="n"/>
    </row>
    <row r="120" ht="57" customHeight="1" s="85">
      <c r="A120" s="27" t="n"/>
      <c r="B120" s="28" t="inlineStr">
        <is>
          <t>Injury</t>
        </is>
      </c>
      <c r="C120" s="56" t="inlineStr">
        <is>
          <t>Jammed Finger</t>
        </is>
      </c>
      <c r="D120" s="63" t="inlineStr">
        <is>
          <t>Discard 1 card at random while receiving a Pass</t>
        </is>
      </c>
      <c r="E120" s="58" t="n"/>
      <c r="F120" s="59" t="n">
        <v>2</v>
      </c>
      <c r="G120" s="75" t="n"/>
      <c r="H120" s="76" t="n"/>
      <c r="I120" s="76" t="n"/>
      <c r="J120" s="76" t="n"/>
    </row>
    <row r="121" ht="57" customHeight="1" s="85">
      <c r="A121" s="27" t="n"/>
      <c r="B121" s="28" t="inlineStr">
        <is>
          <t>Injury</t>
        </is>
      </c>
      <c r="C121" s="56" t="inlineStr">
        <is>
          <t>Sprained Hamstring</t>
        </is>
      </c>
      <c r="D121" s="63" t="inlineStr">
        <is>
          <t>Your Rebound Bids are worth 1 less</t>
        </is>
      </c>
      <c r="E121" s="58" t="n"/>
      <c r="F121" s="59" t="n">
        <v>2</v>
      </c>
      <c r="G121" s="75" t="n"/>
      <c r="H121" s="76" t="n"/>
      <c r="I121" s="76" t="n"/>
      <c r="J121" s="76" t="n"/>
    </row>
    <row r="122" ht="57" customHeight="1" s="85">
      <c r="A122" s="27" t="n"/>
      <c r="B122" s="28" t="inlineStr">
        <is>
          <t>Injury</t>
        </is>
      </c>
      <c r="C122" s="56" t="inlineStr">
        <is>
          <t>Hip Contusion</t>
        </is>
      </c>
      <c r="D122" s="63" t="inlineStr">
        <is>
          <t>Discard 1 card at random when playing a Pass card</t>
        </is>
      </c>
      <c r="E122" s="58" t="n"/>
      <c r="F122" s="59" t="n">
        <v>2</v>
      </c>
      <c r="G122" s="75" t="n"/>
      <c r="H122" s="76" t="n"/>
      <c r="I122" s="76" t="n"/>
      <c r="J122" s="76" t="n"/>
    </row>
    <row r="123" ht="20" customHeight="1" s="85">
      <c r="A123" s="52" t="inlineStr">
        <is>
          <t>Devastating Injury</t>
        </is>
      </c>
      <c r="B123" s="53">
        <f>COUNTIF($B$124:$B$158,"Devastating Injury")</f>
        <v/>
      </c>
      <c r="C123" s="54" t="n"/>
      <c r="D123" s="54" t="n"/>
      <c r="E123" s="54" t="n"/>
      <c r="F123" s="55" t="n"/>
      <c r="G123" s="66" t="n"/>
      <c r="H123" s="67" t="n"/>
      <c r="I123" s="67" t="n"/>
      <c r="J123" s="67" t="n"/>
    </row>
    <row r="124" ht="28" customHeight="1" s="85">
      <c r="A124" s="27" t="n"/>
      <c r="B124" s="28" t="inlineStr">
        <is>
          <t>Devastating Injury</t>
        </is>
      </c>
      <c r="C124" s="64" t="inlineStr">
        <is>
          <t>Torn Achilles</t>
        </is>
      </c>
      <c r="D124" s="65" t="inlineStr">
        <is>
          <t>Cannot Play Dunk Cards. Can only play 1 Move card per possession</t>
        </is>
      </c>
      <c r="E124" s="58" t="n"/>
      <c r="F124" s="61" t="n"/>
      <c r="G124" s="75" t="inlineStr">
        <is>
          <t>Landing one discards every other Injury, and while one is on you a new Injury is discarded</t>
        </is>
      </c>
      <c r="H124" s="76" t="n"/>
      <c r="I124" s="76" t="n"/>
      <c r="J124" s="76" t="n"/>
    </row>
    <row r="125" ht="28" customHeight="1" s="85">
      <c r="A125" s="27" t="n"/>
      <c r="B125" s="28" t="inlineStr">
        <is>
          <t>Devastating Injury</t>
        </is>
      </c>
      <c r="C125" s="64" t="inlineStr">
        <is>
          <t>Torn ACL</t>
        </is>
      </c>
      <c r="D125" s="65" t="inlineStr">
        <is>
          <t>Cannot Play Move Cards.</t>
        </is>
      </c>
      <c r="E125" s="58" t="n"/>
      <c r="F125" s="61" t="n"/>
      <c r="G125" s="75" t="n"/>
      <c r="H125" s="76" t="n"/>
      <c r="I125" s="76" t="n"/>
      <c r="J125" s="76" t="n"/>
    </row>
    <row r="126" ht="28" customHeight="1" s="85">
      <c r="A126" s="27" t="n"/>
      <c r="B126" s="28" t="inlineStr">
        <is>
          <t>Devastating Injury</t>
        </is>
      </c>
      <c r="C126" s="64" t="inlineStr">
        <is>
          <t>Torn Meniscus</t>
        </is>
      </c>
      <c r="D126" s="65" t="inlineStr">
        <is>
          <t>Randomly Lock all but 1 Card Each Possession</t>
        </is>
      </c>
      <c r="E126" s="58" t="n"/>
      <c r="F126" s="61" t="n"/>
      <c r="G126" s="75" t="n"/>
      <c r="H126" s="76" t="n"/>
      <c r="I126" s="76" t="n"/>
      <c r="J126" s="76" t="n"/>
    </row>
    <row r="127" ht="28" customHeight="1" s="85">
      <c r="A127" s="27" t="n"/>
      <c r="B127" s="28" t="inlineStr">
        <is>
          <t>Devastating Injury</t>
        </is>
      </c>
      <c r="C127" s="64" t="inlineStr">
        <is>
          <t>Patellar Tendon Tear</t>
        </is>
      </c>
      <c r="D127" s="65" t="inlineStr">
        <is>
          <t>Cannot Draw Cards except at the start of your possession</t>
        </is>
      </c>
      <c r="E127" s="58" t="n"/>
      <c r="F127" s="61" t="n"/>
      <c r="G127" s="75" t="n"/>
      <c r="H127" s="76" t="n"/>
      <c r="I127" s="76" t="n"/>
      <c r="J127" s="76" t="n"/>
    </row>
    <row r="128" ht="42" customHeight="1" s="85">
      <c r="A128" s="52" t="inlineStr">
        <is>
          <t>Intangible</t>
        </is>
      </c>
      <c r="B128" s="53">
        <f>COUNTIF($B$129:$B$158,"Intangible")</f>
        <v/>
      </c>
      <c r="C128" s="54" t="n"/>
      <c r="D128" s="54" t="n"/>
      <c r="E128" s="54" t="n"/>
      <c r="F128" s="55" t="n"/>
      <c r="G128" s="66" t="n"/>
      <c r="H128" s="67" t="n"/>
      <c r="I128" s="67" t="n"/>
      <c r="J128" s="67" t="n"/>
    </row>
    <row r="129" ht="28" customHeight="1" s="85">
      <c r="A129" s="42" t="inlineStr">
        <is>
          <t>All intangibles are limited to 1</t>
        </is>
      </c>
      <c r="B129" s="22" t="inlineStr">
        <is>
          <t>Intangible</t>
        </is>
      </c>
      <c r="C129" s="23" t="inlineStr">
        <is>
          <t>Board-Crasher</t>
        </is>
      </c>
      <c r="D129" s="6" t="inlineStr">
        <is>
          <t>SHOT +25% when shooting as your first action after a Rebound of your own miss.</t>
        </is>
      </c>
      <c r="E129" s="7" t="n"/>
      <c r="F129" s="50" t="n"/>
      <c r="G129" s="70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4" t="inlineStr">
        <is>
          <t>Catch &amp; Shoot Specialist</t>
        </is>
      </c>
      <c r="D130" s="25" t="inlineStr">
        <is>
          <t>SHOT +25% when shooting as your first action after a Pass</t>
        </is>
      </c>
      <c r="E130" s="26" t="n"/>
      <c r="F130" s="50" t="n"/>
      <c r="G130" s="72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3" t="inlineStr">
        <is>
          <t>Clutch Gene</t>
        </is>
      </c>
      <c r="D131" s="6" t="inlineStr">
        <is>
          <t>SHOT = 2X if you have 1 card or fewer in hand, or the Shot Clock is 03 or less</t>
        </is>
      </c>
      <c r="E131" s="7" t="n"/>
      <c r="F131" s="50" t="n"/>
      <c r="G131" s="70" t="n"/>
      <c r="H131" s="71" t="n"/>
      <c r="I131" s="71" t="n"/>
      <c r="J131" s="71" t="n"/>
    </row>
    <row r="132" ht="56" customHeight="1" s="85">
      <c r="B132" s="0" t="inlineStr">
        <is>
          <t>Intangible</t>
        </is>
      </c>
      <c r="C132" s="0" t="inlineStr">
        <is>
          <t>Roswell Reach</t>
        </is>
      </c>
      <c r="D132" s="0" t="inlineStr">
        <is>
          <t>All your Rebound bids of 1 or more count as 1 higher</t>
        </is>
      </c>
    </row>
    <row r="133" ht="28" customHeight="1" s="85">
      <c r="A133" s="21" t="n"/>
      <c r="B133" s="22" t="inlineStr">
        <is>
          <t>Intangible</t>
        </is>
      </c>
      <c r="C133" s="24" t="inlineStr">
        <is>
          <t>Floor General</t>
        </is>
      </c>
      <c r="D133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33" s="26" t="n"/>
      <c r="F133" s="50" t="n"/>
      <c r="G133" s="72" t="n"/>
      <c r="H133" s="71" t="n"/>
      <c r="I133" s="71" t="n"/>
      <c r="J133" s="71" t="n"/>
    </row>
    <row r="134" ht="28" customHeight="1" s="85">
      <c r="A134" s="21" t="n"/>
      <c r="B134" s="22" t="inlineStr">
        <is>
          <t>Intangible</t>
        </is>
      </c>
      <c r="C134" s="23" t="inlineStr">
        <is>
          <t>Southpaw Shooter</t>
        </is>
      </c>
      <c r="D134" s="6" t="inlineStr">
        <is>
          <t>SHOT gains and losses are reversed</t>
        </is>
      </c>
      <c r="E134" s="6" t="n"/>
      <c r="F134" s="51" t="n"/>
      <c r="G134" s="70" t="n"/>
      <c r="H134" s="71" t="n"/>
      <c r="I134" s="71" t="n"/>
      <c r="J134" s="71" t="n"/>
    </row>
    <row r="135" ht="28" customHeight="1" s="85">
      <c r="A135" s="21" t="n"/>
      <c r="B135" s="22" t="inlineStr">
        <is>
          <t>Intangible</t>
        </is>
      </c>
      <c r="C135" s="37" t="inlineStr">
        <is>
          <t>Freethrow Merchant</t>
        </is>
      </c>
      <c r="D135" s="41" t="inlineStr">
        <is>
          <t>All Clamps on you grant 1 FT instead</t>
        </is>
      </c>
      <c r="E135" s="26" t="n"/>
      <c r="F135" s="50" t="n"/>
      <c r="G135" s="77" t="n"/>
      <c r="H135" s="71" t="n"/>
      <c r="I135" s="71" t="n"/>
      <c r="J135" s="71" t="n"/>
    </row>
    <row r="136" ht="28" customHeight="1" s="85">
      <c r="A136" s="21" t="n"/>
      <c r="B136" s="22" t="inlineStr">
        <is>
          <t>Intangible</t>
        </is>
      </c>
      <c r="C136" s="37" t="inlineStr">
        <is>
          <t>Generational Whistle</t>
        </is>
      </c>
      <c r="D136" s="38" t="inlineStr">
        <is>
          <t>Take 1 additional FT</t>
        </is>
      </c>
      <c r="E136" s="7" t="n"/>
      <c r="F136" s="50" t="n"/>
      <c r="G136" s="70" t="n"/>
      <c r="H136" s="71" t="n"/>
      <c r="I136" s="71" t="n"/>
      <c r="J136" s="71" t="n"/>
    </row>
    <row r="137" ht="14" customHeight="1" s="85">
      <c r="A137" s="21" t="n"/>
      <c r="B137" s="22" t="inlineStr">
        <is>
          <t>Intangible</t>
        </is>
      </c>
      <c r="C137" s="24" t="inlineStr">
        <is>
          <t>Gravity</t>
        </is>
      </c>
      <c r="D137" s="25" t="inlineStr">
        <is>
          <t>All Clamps automatically apply to you. +1 AST whenever another player attempts a shot</t>
        </is>
      </c>
      <c r="E137" s="26" t="n"/>
      <c r="F137" s="50" t="n"/>
      <c r="G137" s="72" t="n"/>
      <c r="H137" s="71" t="n"/>
      <c r="I137" s="71" t="n"/>
      <c r="J137" s="71" t="n"/>
    </row>
    <row r="138" ht="28" customHeight="1" s="85">
      <c r="A138" s="21" t="n"/>
      <c r="B138" s="22" t="inlineStr">
        <is>
          <t>Intangible</t>
        </is>
      </c>
      <c r="C138" s="23" t="inlineStr">
        <is>
          <t>Great Conditioning</t>
        </is>
      </c>
      <c r="D138" s="6" t="inlineStr">
        <is>
          <t>Immediately discard all Injuries you draw and draw a new card for each</t>
        </is>
      </c>
      <c r="E138" s="7" t="n"/>
      <c r="F138" s="50" t="n"/>
      <c r="G138" s="70" t="inlineStr">
        <is>
          <t>Also discards any Injuries you already have (not on the card)</t>
        </is>
      </c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Hot Hand</t>
        </is>
      </c>
      <c r="D139" s="25" t="inlineStr">
        <is>
          <t>SHOT +25% if you scored last round.</t>
        </is>
      </c>
      <c r="E139" s="26" t="n"/>
      <c r="F139" s="50" t="n"/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Like That</t>
        </is>
      </c>
      <c r="D140" s="38" t="inlineStr">
        <is>
          <t>Your SHOT % cannot be reduced</t>
        </is>
      </c>
      <c r="E140" s="7" t="n"/>
      <c r="F140" s="50" t="n"/>
      <c r="G140" s="70" t="inlineStr">
        <is>
          <t>Variaball effects still lower SHOT: the ball is altered, not the player (not on the card)</t>
        </is>
      </c>
      <c r="H140" s="71" t="n"/>
      <c r="I140" s="71" t="n"/>
      <c r="J140" s="71" t="n"/>
    </row>
    <row r="141" ht="28" customHeight="1" s="85">
      <c r="A141" s="21" t="n"/>
      <c r="B141" s="22" t="inlineStr">
        <is>
          <t>Intangible</t>
        </is>
      </c>
      <c r="C141" s="24" t="inlineStr">
        <is>
          <t>Park Shark</t>
        </is>
      </c>
      <c r="D141" s="25" t="inlineStr">
        <is>
          <t>SHOT +25%. Cannot play Move cards or shoot Threes</t>
        </is>
      </c>
      <c r="E141" s="26" t="n"/>
      <c r="F141" s="50" t="n"/>
      <c r="G141" s="73" t="n"/>
      <c r="H141" s="71" t="n"/>
      <c r="I141" s="71" t="n"/>
      <c r="J141" s="71" t="n"/>
    </row>
    <row r="142" ht="28" customHeight="1" s="85">
      <c r="A142" s="21" t="n"/>
      <c r="B142" s="22" t="inlineStr">
        <is>
          <t>Intangible</t>
        </is>
      </c>
      <c r="C142" s="23" t="inlineStr">
        <is>
          <t>Point God</t>
        </is>
      </c>
      <c r="D142" s="6" t="inlineStr">
        <is>
          <t>Draw 1 card following each of your passes</t>
        </is>
      </c>
      <c r="E142" s="7" t="n"/>
      <c r="F142" s="50" t="n"/>
      <c r="G142" s="70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4" t="inlineStr">
        <is>
          <t>Shot Creator</t>
        </is>
      </c>
      <c r="D143" s="25" t="inlineStr">
        <is>
          <t>Draw 1 additional card after every draw effect</t>
        </is>
      </c>
      <c r="E143" s="26" t="n"/>
      <c r="F143" s="50" t="n"/>
      <c r="G143" s="73" t="inlineStr">
        <is>
          <t>Triggers once per act of drawing: a Draw 2 still gives only 1 extra</t>
        </is>
      </c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23" t="inlineStr">
        <is>
          <t>Sixth Man</t>
        </is>
      </c>
      <c r="D144" s="6" t="inlineStr">
        <is>
          <t>SHOT = 60% on any six: cards in hand, Shot Clock, shot of the round, or Score</t>
        </is>
      </c>
      <c r="E144" s="7" t="n"/>
      <c r="F144" s="50" t="n"/>
      <c r="G144" s="70" t="inlineStr">
        <is>
          <t>A second SHOOT (60%) button beside Shoot, shown only on a six. Ignore it when SHOT is already higher</t>
        </is>
      </c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24" t="inlineStr">
        <is>
          <t>Sniper</t>
        </is>
      </c>
      <c r="D145" s="25" t="inlineStr">
        <is>
          <t>SHOT +25% when attempting a Three</t>
        </is>
      </c>
      <c r="E145" s="26" t="n"/>
      <c r="F145" s="50" t="n"/>
      <c r="G145" s="72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3" t="inlineStr">
        <is>
          <t>Splash Cousin</t>
        </is>
      </c>
      <c r="D146" s="6" t="inlineStr">
        <is>
          <t>SHOT = 100% when attempting a Three</t>
        </is>
      </c>
      <c r="E146" s="7" t="n"/>
      <c r="F146" s="50" t="n"/>
      <c r="G146" s="70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4" t="inlineStr">
        <is>
          <t>Competitive</t>
        </is>
      </c>
      <c r="D147" s="25" t="inlineStr">
        <is>
          <t>All Clamps on you have no effect on SHOT %</t>
        </is>
      </c>
      <c r="E147" s="26" t="n"/>
      <c r="F147" s="50" t="n"/>
      <c r="G147" s="72" t="n"/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3" t="inlineStr">
        <is>
          <t>Lethal Shooter</t>
        </is>
      </c>
      <c r="D148" s="38" t="inlineStr">
        <is>
          <t>SHOT = 100% when shooting as your first action after a Rebound of your own miss</t>
        </is>
      </c>
      <c r="E148" s="7" t="n"/>
      <c r="F148" s="50" t="n"/>
      <c r="G148" s="70" t="inlineStr">
        <is>
          <t>Special text: “I understand it now”</t>
        </is>
      </c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4" t="inlineStr">
        <is>
          <t>Ball Pounder</t>
        </is>
      </c>
      <c r="D149" s="25" t="inlineStr">
        <is>
          <t>Every Dribble draws 1 card but gives SHOT -10% and Shot Clock - 01</t>
        </is>
      </c>
      <c r="E149" s="26" t="n"/>
      <c r="F149" s="50" t="n"/>
      <c r="G149" s="73" t="n"/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3" t="inlineStr">
        <is>
          <t>Dirty Player</t>
        </is>
      </c>
      <c r="D150" s="38" t="inlineStr">
        <is>
          <t>When sending Clamps, the clamped player discards 1 for each of your Clamps if they have any Injuries. Discard 1 whenever a Whistle triggers</t>
        </is>
      </c>
      <c r="E150" s="7" t="n"/>
      <c r="F150" s="50" t="n"/>
      <c r="G150" s="70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Free Agent</t>
        </is>
      </c>
      <c r="D151" s="38" t="inlineStr">
        <is>
          <t>Discard your hand. Play a card at random from a player of your choosing (they keep it)</t>
        </is>
      </c>
      <c r="E151" s="7" t="n"/>
      <c r="F151" s="50" t="n"/>
      <c r="G151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3" t="inlineStr">
        <is>
          <t>Franchise Player</t>
        </is>
      </c>
      <c r="D152" s="38" t="inlineStr">
        <is>
          <t>When passing, choose 1 of the new player's Intangibles or a card in their hand for them to discard</t>
        </is>
      </c>
      <c r="E152" s="7" t="n"/>
      <c r="F152" s="50" t="n"/>
      <c r="G152" s="70" t="n"/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Fundamentalist</t>
        </is>
      </c>
      <c r="D153" s="38" t="inlineStr">
        <is>
          <t>No Special Moves. Each Move once a turn. Swings, Skip Pass and Dribble are never spent. Discards the current ball</t>
        </is>
      </c>
      <c r="E153" s="7" t="n"/>
      <c r="F153" s="50" t="n"/>
      <c r="G153" s="70" t="inlineStr">
        <is>
          <t>The ball is discarded once, on activation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3" t="inlineStr">
        <is>
          <t>Moves At Own Pace</t>
        </is>
      </c>
      <c r="D154" s="38" t="inlineStr">
        <is>
          <t>Cannot be called for Traveling or Shot Clock violations</t>
        </is>
      </c>
      <c r="E154" s="7" t="n"/>
      <c r="F154" s="50" t="n">
        <v>1</v>
      </c>
      <c r="G154" s="70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Equalizer</t>
        </is>
      </c>
      <c r="D155" s="38" t="inlineStr">
        <is>
          <t>You may Discard this card when shooting: SHOT = 100%. All players' pts become your new total pts.</t>
        </is>
      </c>
      <c r="E155" s="7" t="n"/>
      <c r="F155" s="50" t="n"/>
      <c r="G155" s="70" t="inlineStr">
        <is>
          <t>The points change comes after the make</t>
        </is>
      </c>
      <c r="H155" s="71" t="n"/>
      <c r="I155" s="71" t="n"/>
      <c r="J155" s="71" t="n"/>
    </row>
    <row r="156" s="85">
      <c r="A156" s="27" t="n"/>
      <c r="B156" s="28" t="inlineStr">
        <is>
          <t>Intangible</t>
        </is>
      </c>
      <c r="C156" s="56" t="inlineStr">
        <is>
          <t>Varsitile</t>
        </is>
      </c>
      <c r="D156" s="63" t="inlineStr">
        <is>
          <t>You can play more than 1 Varena and Variaball per turn. Once per possession, you can exchange the Varena and/or ball for one in the Discards</t>
        </is>
      </c>
      <c r="E156" s="58" t="n"/>
      <c r="F156" s="61" t="n"/>
      <c r="G156" s="75" t="inlineStr">
        <is>
          <t>One use can exchange both</t>
        </is>
      </c>
      <c r="H156" s="76" t="n"/>
      <c r="I156" s="76" t="n"/>
      <c r="J156" s="76" t="n"/>
    </row>
    <row r="157" s="85">
      <c r="A157" s="27" t="n"/>
      <c r="B157" s="28" t="inlineStr">
        <is>
          <t>Intangible</t>
        </is>
      </c>
      <c r="C157" s="56" t="inlineStr">
        <is>
          <t>Brawl Handler</t>
        </is>
      </c>
      <c r="D157" s="63" t="inlineStr">
        <is>
          <t>Remove all your Clamps when you change the ball</t>
        </is>
      </c>
      <c r="E157" s="58" t="n"/>
      <c r="F157" s="61" t="n"/>
      <c r="G157" s="75" t="n"/>
      <c r="H157" s="76" t="n"/>
    </row>
    <row r="158" s="85">
      <c r="A158" s="27" t="n"/>
      <c r="B158" s="28" t="inlineStr">
        <is>
          <t>Intangible</t>
        </is>
      </c>
      <c r="C158" s="56" t="inlineStr">
        <is>
          <t>Baller</t>
        </is>
      </c>
      <c r="D158" s="63" t="inlineStr">
        <is>
          <t>Draw 1 card each time you change the ball</t>
        </is>
      </c>
      <c r="E158" s="58" t="n"/>
      <c r="F158" s="61" t="n"/>
      <c r="G158" s="75" t="n"/>
      <c r="H158" s="76" t="n"/>
    </row>
    <row r="159" ht="42" customHeight="1" s="85">
      <c r="A159" s="52" t="inlineStr">
        <is>
          <t>Varena</t>
        </is>
      </c>
      <c r="B159" s="53">
        <f>COUNTIF($B$160:$B$189,"Varena")</f>
        <v/>
      </c>
      <c r="C159" s="54" t="n"/>
      <c r="D159" s="54" t="n"/>
      <c r="E159" s="54" t="n"/>
      <c r="F159" s="55" t="n"/>
      <c r="G159" s="66" t="n"/>
      <c r="H159" s="67" t="n"/>
      <c r="I159" s="67" t="n"/>
      <c r="J159" s="67" t="n"/>
    </row>
    <row r="160" s="85">
      <c r="A160" s="27" t="n"/>
      <c r="B160" s="28" t="inlineStr">
        <is>
          <t>Varena</t>
        </is>
      </c>
      <c r="C160" s="56" t="inlineStr">
        <is>
          <t>Cardwood</t>
        </is>
      </c>
      <c r="D160" s="63" t="inlineStr">
        <is>
          <t>Changes the court back to basic</t>
        </is>
      </c>
      <c r="E160" s="58" t="n"/>
      <c r="F160" s="61" t="n">
        <v>6</v>
      </c>
      <c r="G160" s="75" t="inlineStr">
        <is>
          <t>Also the floor every game opens on, before anybody plays a Varena over it</t>
        </is>
      </c>
      <c r="H160" s="76" t="n"/>
      <c r="I160" s="76" t="n"/>
      <c r="J160" s="76" t="n"/>
    </row>
    <row r="161" s="85">
      <c r="A161" s="27" t="n"/>
      <c r="B161" s="28" t="inlineStr">
        <is>
          <t>Varena</t>
        </is>
      </c>
      <c r="C161" s="56" t="inlineStr">
        <is>
          <t>Prime Parquet</t>
        </is>
      </c>
      <c r="D161" s="63" t="inlineStr">
        <is>
          <t>SHOT +20%</t>
        </is>
      </c>
      <c r="E161" s="58" t="n"/>
      <c r="F161" s="61" t="n">
        <v>3</v>
      </c>
      <c r="G161" s="75" t="n"/>
      <c r="H161" s="76" t="n"/>
      <c r="I161" s="76" t="n"/>
      <c r="J161" s="76" t="n"/>
    </row>
    <row r="162" s="85">
      <c r="A162" s="27" t="n"/>
      <c r="B162" s="28" t="inlineStr">
        <is>
          <t>Varena</t>
        </is>
      </c>
      <c r="C162" s="56" t="inlineStr">
        <is>
          <t>Lacktop</t>
        </is>
      </c>
      <c r="D162" s="63" t="inlineStr">
        <is>
          <t>SHOT -20%</t>
        </is>
      </c>
      <c r="E162" s="58" t="n"/>
      <c r="F162" s="61" t="n">
        <v>3</v>
      </c>
      <c r="G162" s="75" t="inlineStr">
        <is>
          <t>Always Prime Parquet's opposite</t>
        </is>
      </c>
      <c r="H162" s="76" t="n"/>
      <c r="I162" s="76" t="n"/>
      <c r="J162" s="76" t="n"/>
    </row>
    <row r="163" s="85">
      <c r="A163" s="27" t="n"/>
      <c r="B163" s="28" t="inlineStr">
        <is>
          <t>Varena</t>
        </is>
      </c>
      <c r="C163" s="56" t="inlineStr">
        <is>
          <t>Smacktop</t>
        </is>
      </c>
      <c r="D163" s="63" t="inlineStr">
        <is>
          <t>Clear All Whistles. Whistles Cannot Be Played. All Clamps are enhanced</t>
        </is>
      </c>
      <c r="E163" s="58" t="n"/>
      <c r="F163" s="61" t="n">
        <v>3</v>
      </c>
      <c r="G163" s="75" t="inlineStr">
        <is>
          <t>Enhanced: +10% more reduction, one more card discarded, one more card locked</t>
        </is>
      </c>
      <c r="H163" s="76" t="n"/>
      <c r="I163" s="76" t="n"/>
      <c r="J163" s="76" t="n"/>
    </row>
    <row r="164" s="85">
      <c r="A164" s="27" t="n"/>
      <c r="B164" s="28" t="inlineStr">
        <is>
          <t>Varena</t>
        </is>
      </c>
      <c r="C164" s="56" t="inlineStr">
        <is>
          <t>Boarder Court</t>
        </is>
      </c>
      <c r="D164" s="63" t="inlineStr">
        <is>
          <t>Off your own miss, your Rebound bid counts as one card more</t>
        </is>
      </c>
      <c r="E164" s="58" t="n"/>
      <c r="F164" s="61" t="n">
        <v>1</v>
      </c>
      <c r="G164" s="75" t="inlineStr">
        <is>
          <t>Still needs a bid of at least one</t>
        </is>
      </c>
      <c r="H164" s="76" t="n"/>
      <c r="I164" s="76" t="n"/>
      <c r="J164" s="76" t="n"/>
    </row>
    <row r="165" s="85">
      <c r="A165" s="27" t="n"/>
      <c r="B165" s="28" t="inlineStr">
        <is>
          <t>Varena</t>
        </is>
      </c>
      <c r="C165" s="56" t="inlineStr">
        <is>
          <t>Dim Dome</t>
        </is>
      </c>
      <c r="D165" s="63" t="inlineStr">
        <is>
          <t>SHOT is hidden from everyone but the ball holder</t>
        </is>
      </c>
      <c r="E165" s="58" t="n"/>
      <c r="F165" s="61" t="n">
        <v>1</v>
      </c>
      <c r="G165" s="75" t="inlineStr">
        <is>
          <t>On a table, flip the % device face down</t>
        </is>
      </c>
      <c r="H165" s="76" t="n"/>
      <c r="I165" s="76" t="n"/>
      <c r="J165" s="76" t="n"/>
    </row>
    <row r="166" s="85">
      <c r="A166" s="27" t="n"/>
      <c r="B166" s="28" t="inlineStr">
        <is>
          <t>Varena</t>
        </is>
      </c>
      <c r="C166" s="56" t="inlineStr">
        <is>
          <t>Tri-hard Tiling</t>
        </is>
      </c>
      <c r="D166" s="63" t="inlineStr">
        <is>
          <t>Hand limit 3</t>
        </is>
      </c>
      <c r="E166" s="58" t="n"/>
      <c r="F166" s="61" t="n">
        <v>3</v>
      </c>
      <c r="G166" s="75" t="inlineStr">
        <is>
          <t>Hands over 3 are cut to 3 when it lands (owner picks). A draw into a hand of 3 is discarded</t>
        </is>
      </c>
      <c r="H166" s="76" t="n"/>
      <c r="I166" s="76" t="n"/>
      <c r="J166" s="76" t="n"/>
    </row>
    <row r="167" s="85">
      <c r="A167" s="27" t="n"/>
      <c r="B167" s="28" t="inlineStr">
        <is>
          <t>Retired Varena</t>
        </is>
      </c>
      <c r="C167" s="56" t="inlineStr">
        <is>
          <t>Policeum</t>
        </is>
      </c>
      <c r="D167" s="63" t="inlineStr">
        <is>
          <t>Referees do not leave once triggered</t>
        </is>
      </c>
      <c r="E167" s="58" t="n"/>
      <c r="F167" s="61" t="n">
        <v>0</v>
      </c>
      <c r="G167" s="75" t="inlineStr">
        <is>
          <t>Out of the deck (2026-09-15): its referees could lock a game into a loop</t>
        </is>
      </c>
      <c r="H167" s="76" t="n"/>
      <c r="I167" s="76" t="n"/>
      <c r="J167" s="76" t="n"/>
    </row>
    <row r="168" s="85">
      <c r="A168" s="27" t="n"/>
      <c r="B168" s="28" t="inlineStr">
        <is>
          <t>Varena</t>
        </is>
      </c>
      <c r="C168" s="56" t="inlineStr">
        <is>
          <t>Kiddie Court</t>
        </is>
      </c>
      <c r="D168" s="63" t="inlineStr">
        <is>
          <t>SHOT +10%. Dunks +10%. Three-point shots cannot be attempted.</t>
        </is>
      </c>
      <c r="E168" s="58" t="n"/>
      <c r="F168" s="61" t="n">
        <v>3</v>
      </c>
      <c r="G168" s="75" t="inlineStr">
        <is>
          <t>Shuts off every card that makes a three (Kick-Out)</t>
        </is>
      </c>
      <c r="H168" s="76" t="n"/>
      <c r="I168" s="76" t="n"/>
      <c r="J168" s="76" t="n"/>
    </row>
    <row r="169" s="85">
      <c r="A169" s="27" t="n"/>
      <c r="B169" s="28" t="inlineStr">
        <is>
          <t>Varena</t>
        </is>
      </c>
      <c r="C169" s="56" t="inlineStr">
        <is>
          <t>Recharging Resin</t>
        </is>
      </c>
      <c r="D169" s="63" t="inlineStr">
        <is>
          <t>Everyone refills their hand at the start of their possession</t>
        </is>
      </c>
      <c r="E169" s="58" t="n"/>
      <c r="F169" s="61" t="n">
        <v>3</v>
      </c>
      <c r="G169" s="75" t="inlineStr">
        <is>
          <t>After the draw for turn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Contact Court</t>
        </is>
      </c>
      <c r="D170" s="63" t="inlineStr">
        <is>
          <t>Being clamped: take 1 FT. The Clamp still lands</t>
        </is>
      </c>
      <c r="E170" s="58" t="n"/>
      <c r="F170" s="61" t="n">
        <v>3</v>
      </c>
      <c r="G170" s="75" t="inlineStr">
        <is>
          <t>One free throw however many Clamps land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MVPiquia</t>
        </is>
      </c>
      <c r="D171" s="63" t="inlineStr">
        <is>
          <t>The highest scorer refills their hand at the start of their possession</t>
        </is>
      </c>
      <c r="E171" s="58" t="n"/>
      <c r="F171" s="61" t="n">
        <v>1</v>
      </c>
      <c r="G171" s="75" t="inlineStr">
        <is>
          <t>A tie for the lead counts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Polypaypylene</t>
        </is>
      </c>
      <c r="D172" s="63" t="inlineStr">
        <is>
          <t>Making a shot: Draw 3</t>
        </is>
      </c>
      <c r="E172" s="58" t="n"/>
      <c r="F172" s="61" t="n">
        <v>1</v>
      </c>
      <c r="G172" s="75" t="n"/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Recoverena</t>
        </is>
      </c>
      <c r="D173" s="63" t="inlineStr">
        <is>
          <t>Discard all Injuries. A new Injury is discarded, and that player draws 1</t>
        </is>
      </c>
      <c r="E173" s="58" t="n"/>
      <c r="F173" s="61" t="n">
        <v>3</v>
      </c>
      <c r="G173" s="75" t="inlineStr">
        <is>
          <t>Every player's Injuries go when it lands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Carousel Court</t>
        </is>
      </c>
      <c r="D174" s="63" t="inlineStr">
        <is>
          <t>Declare left or right. Every possession, hands move one seat that way</t>
        </is>
      </c>
      <c r="E174" s="58" t="n"/>
      <c r="F174" s="61" t="n">
        <v>1</v>
      </c>
      <c r="G174" s="75" t="inlineStr">
        <is>
          <t>Declared by whoever plays it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Traderous Tarmac</t>
        </is>
      </c>
      <c r="D175" s="63" t="inlineStr">
        <is>
          <t>During your turn, hand off any number of the Clamps on you to other players</t>
        </is>
      </c>
      <c r="E175" s="58" t="n"/>
      <c r="F175" s="61" t="n">
        <v>1</v>
      </c>
      <c r="G175" s="75" t="inlineStr">
        <is>
          <t>The player assigns each Clamp: all to one player, one each, or any split</t>
        </is>
      </c>
      <c r="H175" s="76" t="n"/>
      <c r="I175" s="76" t="n"/>
      <c r="J175" s="76" t="n"/>
    </row>
    <row r="176" s="85">
      <c r="A176" s="27" t="n"/>
      <c r="B176" s="28" t="inlineStr">
        <is>
          <t>Varena</t>
        </is>
      </c>
      <c r="C176" s="56" t="inlineStr">
        <is>
          <t>Clearcoat Court</t>
        </is>
      </c>
      <c r="D176" s="63" t="inlineStr">
        <is>
          <t>Every possession: clear all referees, Clamps, Injuries and Intangibles</t>
        </is>
      </c>
      <c r="E176" s="58" t="n"/>
      <c r="F176" s="61" t="n">
        <v>3</v>
      </c>
      <c r="G176" s="75" t="inlineStr">
        <is>
          <t>Standing Clamps only; Clamps still in the air land after the wipe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Malice Palace</t>
        </is>
      </c>
      <c r="D177" s="63" t="inlineStr">
        <is>
          <t>At the start of your possession, before your draw: discard your hand</t>
        </is>
      </c>
      <c r="E177" s="58" t="n"/>
      <c r="F177" s="61" t="n">
        <v>1</v>
      </c>
      <c r="G177" s="75" t="n"/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Turnstile Tile</t>
        </is>
      </c>
      <c r="D178" s="63" t="inlineStr">
        <is>
          <t>Upright: SHOT +25%
Reversed: SHOT -25%
Turn this card at the start of each possession</t>
        </is>
      </c>
      <c r="E178" s="58" t="n"/>
      <c r="F178" s="61" t="n">
        <v>3</v>
      </c>
      <c r="G178" s="75" t="inlineStr">
        <is>
          <t>+25% the possession it lands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Roleplayer Polymer</t>
        </is>
      </c>
      <c r="D179" s="63" t="inlineStr">
        <is>
          <t>Every possession, everyone but the turn player draws 1</t>
        </is>
      </c>
      <c r="E179" s="58" t="n"/>
      <c r="F179" s="61" t="n">
        <v>2</v>
      </c>
      <c r="G179" s="75" t="n"/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Variaball Vinyl</t>
        </is>
      </c>
      <c r="D180" s="63" t="inlineStr">
        <is>
          <t>The draw for turn goes to a random player each possession</t>
        </is>
      </c>
      <c r="E180" s="58" t="n"/>
      <c r="F180" s="61" t="n">
        <v>1</v>
      </c>
      <c r="G180" s="75" t="inlineStr">
        <is>
          <t>Can be the turn player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Gravi-Gym</t>
        </is>
      </c>
      <c r="D181" s="63" t="inlineStr">
        <is>
          <t>SHOT -10%. No dunks</t>
        </is>
      </c>
      <c r="E181" s="58" t="n"/>
      <c r="F181" s="61" t="n">
        <v>3</v>
      </c>
      <c r="G181" s="75" t="inlineStr">
        <is>
          <t>Cards that dunk cannot be played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Vintage Varnish</t>
        </is>
      </c>
      <c r="D182" s="63" t="inlineStr">
        <is>
          <t>Shot Clock 14. No threes. No Variaballs. 1 Intangible per player</t>
        </is>
      </c>
      <c r="E182" s="58" t="n"/>
      <c r="F182" s="61" t="n">
        <v>3</v>
      </c>
      <c r="G182" s="75" t="inlineStr">
        <is>
          <t>Discards the ball in play when it lands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S.O.S — Sell-Out Stadium</t>
        </is>
      </c>
      <c r="D183" s="63" t="inlineStr">
        <is>
          <t>A Three may be attempted as a two at 2X SHOT</t>
        </is>
      </c>
      <c r="E183" s="58" t="n"/>
      <c r="F183" s="61" t="n">
        <v>3</v>
      </c>
      <c r="G183" s="75" t="inlineStr">
        <is>
          <t>Keeps every other printed effect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Grayvstone</t>
        </is>
      </c>
      <c r="D184" s="63" t="inlineStr">
        <is>
          <t>Each possession, the ball becomes the last Variaball in the discards</t>
        </is>
      </c>
      <c r="E184" s="58" t="n"/>
      <c r="F184" s="61" t="n">
        <v>1</v>
      </c>
      <c r="G184" s="75" t="inlineStr">
        <is>
          <t>With none there, nothing happens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Con-crete</t>
        </is>
      </c>
      <c r="D185" s="63" t="inlineStr">
        <is>
          <t>Move cards: SHOT -10%</t>
        </is>
      </c>
      <c r="E185" s="58" t="n"/>
      <c r="F185" s="61" t="n">
        <v>3</v>
      </c>
      <c r="G185" s="75" t="n"/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Spazzphalt</t>
        </is>
      </c>
      <c r="D186" s="63" t="inlineStr">
        <is>
          <t>SHOT = ?</t>
        </is>
      </c>
      <c r="E186" s="58" t="n"/>
      <c r="F186" s="61" t="n">
        <v>3</v>
      </c>
      <c r="G186" s="75" t="inlineStr">
        <is>
          <t>A random 0–100%, in steps of 5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Frostbite Finish</t>
        </is>
      </c>
      <c r="D187" s="63" t="inlineStr">
        <is>
          <t>Playing a Move costs discarding 1 other card</t>
        </is>
      </c>
      <c r="E187" s="58" t="n"/>
      <c r="F187" s="61" t="n">
        <v>2</v>
      </c>
      <c r="G187" s="75" t="inlineStr">
        <is>
          <t>The owner picks the card. A Move that is your whole hand can't be played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The Future</t>
        </is>
      </c>
      <c r="D188" s="63" t="inlineStr">
        <is>
          <t>SHOT +10% and Draw 1 card when playing a Move card.
SHOT -10% while Passing.</t>
        </is>
      </c>
      <c r="E188" s="58" t="inlineStr">
        <is>
          <t>You may Discard 1 card during a three attempt to make it worth four pts (at SHOT-10%)</t>
        </is>
      </c>
      <c r="F188" s="61" t="n">
        <v>1</v>
      </c>
      <c r="G188" s="75" t="inlineStr">
        <is>
          <t>New in the SHOT audit (2026-09-14). Special Moves count as Moves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Tick-Tock Tile</t>
        </is>
      </c>
      <c r="D189" s="63" t="inlineStr">
        <is>
          <t>Playing any card also ticks the Shot Clock</t>
        </is>
      </c>
      <c r="E189" s="58" t="n"/>
      <c r="F189" s="61" t="n">
        <v>3</v>
      </c>
      <c r="G189" s="75" t="inlineStr">
        <is>
          <t>The tick is paid after the card resolves, so a shot at 01 still goes up</t>
        </is>
      </c>
      <c r="H189" s="76" t="n"/>
      <c r="I189" s="76" t="n"/>
      <c r="J189" s="76" t="n"/>
    </row>
    <row r="190" ht="42" customHeight="1" s="85">
      <c r="A190" s="52" t="inlineStr">
        <is>
          <t>Variaball</t>
        </is>
      </c>
      <c r="B190" s="53">
        <f>COUNTIF($B$191:$B$208,"Variaball")</f>
        <v/>
      </c>
      <c r="C190" s="54" t="n"/>
      <c r="D190" s="54" t="n"/>
      <c r="E190" s="54" t="n"/>
      <c r="F190" s="55" t="n"/>
      <c r="G190" s="66" t="n"/>
      <c r="H190" s="67" t="n"/>
      <c r="I190" s="67" t="n"/>
      <c r="J190" s="67" t="n"/>
    </row>
    <row r="191" s="85">
      <c r="A191" s="27" t="n"/>
      <c r="B191" s="28" t="inlineStr">
        <is>
          <t>Variaball</t>
        </is>
      </c>
      <c r="C191" s="56" t="inlineStr">
        <is>
          <t>Med Ball</t>
        </is>
      </c>
      <c r="D191" s="63" t="inlineStr">
        <is>
          <t>SHOT cannot exceed 50%</t>
        </is>
      </c>
      <c r="E191" s="58" t="n"/>
      <c r="F191" s="61" t="n">
        <v>2</v>
      </c>
      <c r="G191" s="75" t="inlineStr">
        <is>
          <t>An Intangible's or a Varena's SHOT = is not held to it</t>
        </is>
      </c>
      <c r="H191" s="76" t="n"/>
      <c r="I191" s="76" t="n"/>
      <c r="J191" s="76" t="n"/>
    </row>
    <row r="192" s="85">
      <c r="A192" s="27" t="n"/>
      <c r="B192" s="28" t="inlineStr">
        <is>
          <t>Variaball</t>
        </is>
      </c>
      <c r="C192" s="56" t="inlineStr">
        <is>
          <t>Dishcount Ball</t>
        </is>
      </c>
      <c r="D192" s="63" t="inlineStr">
        <is>
          <t>Discard one fewer for card costs and Clamps</t>
        </is>
      </c>
      <c r="E192" s="58" t="n"/>
      <c r="F192" s="61" t="n">
        <v>2</v>
      </c>
      <c r="G192" s="75" t="inlineStr">
        <is>
          <t>Counts: Clamps, Pound Dribble, Frostbite Finish, Stepback, Turnaround Three</t>
        </is>
      </c>
      <c r="H192" s="76" t="n"/>
      <c r="I192" s="76" t="n"/>
      <c r="J192" s="76" t="n"/>
    </row>
    <row r="193" s="85">
      <c r="A193" s="27" t="n"/>
      <c r="B193" s="28" t="inlineStr">
        <is>
          <t>Variaball</t>
        </is>
      </c>
      <c r="C193" s="56" t="inlineStr">
        <is>
          <t>Blight Ball</t>
        </is>
      </c>
      <c r="D193" s="63" t="inlineStr">
        <is>
          <t>Injuries travel with the ball, and new ones join the pile. Discarding the ball takes the pile with it</t>
        </is>
      </c>
      <c r="E193" s="58" t="n"/>
      <c r="F193" s="61" t="n">
        <v>3</v>
      </c>
      <c r="G193" s="75" t="inlineStr">
        <is>
          <t>Moves on any change of hands</t>
        </is>
      </c>
      <c r="H193" s="76" t="n"/>
      <c r="I193" s="76" t="n"/>
      <c r="J193" s="76" t="n"/>
    </row>
    <row r="194" s="85">
      <c r="A194" s="27" t="n"/>
      <c r="B194" s="28" t="inlineStr">
        <is>
          <t>Variaball</t>
        </is>
      </c>
      <c r="C194" s="56" t="inlineStr">
        <is>
          <t>Bench Ball</t>
        </is>
      </c>
      <c r="D194" s="63" t="inlineStr">
        <is>
          <t>Receiving it by Pass: no draw, no turn. You inbound</t>
        </is>
      </c>
      <c r="E194" s="58" t="n"/>
      <c r="F194" s="61" t="n">
        <v>1</v>
      </c>
      <c r="G194" s="75" t="n"/>
      <c r="H194" s="76" t="n"/>
      <c r="I194" s="76" t="n"/>
      <c r="J194" s="76" t="n"/>
    </row>
    <row r="195" s="85">
      <c r="A195" s="27" t="n"/>
      <c r="B195" s="28" t="inlineStr">
        <is>
          <t>Variaball</t>
        </is>
      </c>
      <c r="C195" s="56" t="inlineStr">
        <is>
          <t>Dishtracting Ball</t>
        </is>
      </c>
      <c r="D195" s="63" t="inlineStr">
        <is>
          <t>Receiving it: discard 1, after the draw for turn</t>
        </is>
      </c>
      <c r="E195" s="58" t="n"/>
      <c r="F195" s="61" t="n">
        <v>2</v>
      </c>
      <c r="G195" s="75" t="inlineStr">
        <is>
          <t>Any change of hands</t>
        </is>
      </c>
      <c r="H195" s="76" t="n"/>
      <c r="I195" s="76" t="n"/>
      <c r="J195" s="76" t="n"/>
    </row>
    <row r="196" s="85">
      <c r="A196" s="27" t="n"/>
      <c r="B196" s="28" t="inlineStr">
        <is>
          <t>Variaball</t>
        </is>
      </c>
      <c r="C196" s="56" t="inlineStr">
        <is>
          <t>Hand Ball</t>
        </is>
      </c>
      <c r="D196" s="63" t="inlineStr">
        <is>
          <t>A Pass swaps hands: yours goes with the ball, theirs comes back</t>
        </is>
      </c>
      <c r="E196" s="58" t="n"/>
      <c r="F196" s="61" t="n">
        <v>1</v>
      </c>
      <c r="G196" s="75" t="n"/>
      <c r="H196" s="76" t="n"/>
      <c r="I196" s="76" t="n"/>
      <c r="J196" s="76" t="n"/>
    </row>
    <row r="197" s="85">
      <c r="A197" s="27" t="n"/>
      <c r="B197" s="28" t="inlineStr">
        <is>
          <t>Variaball</t>
        </is>
      </c>
      <c r="C197" s="56" t="inlineStr">
        <is>
          <t>Foot Ball</t>
        </is>
      </c>
      <c r="D197" s="63" t="inlineStr">
        <is>
          <t>Moves and Passes are not spent. They lock until your possession ends</t>
        </is>
      </c>
      <c r="E197" s="58" t="n"/>
      <c r="F197" s="61" t="n">
        <v>1</v>
      </c>
      <c r="G197" s="75" t="n"/>
      <c r="H197" s="76" t="n"/>
      <c r="I197" s="76" t="n"/>
      <c r="J197" s="76" t="n"/>
    </row>
    <row r="198" s="85">
      <c r="A198" s="27" t="n"/>
      <c r="B198" s="28" t="inlineStr">
        <is>
          <t>Variaball</t>
        </is>
      </c>
      <c r="C198" s="56" t="inlineStr">
        <is>
          <t>Recharge Rock</t>
        </is>
      </c>
      <c r="D198" s="63" t="inlineStr">
        <is>
          <t>Double your draw for turn</t>
        </is>
      </c>
      <c r="E198" s="58" t="n"/>
      <c r="F198" s="61" t="n">
        <v>5</v>
      </c>
      <c r="G198" s="75" t="n"/>
      <c r="H198" s="76" t="n"/>
      <c r="I198" s="76" t="n"/>
      <c r="J198" s="76" t="n"/>
    </row>
    <row r="199" s="85">
      <c r="A199" s="27" t="n"/>
      <c r="B199" s="28" t="inlineStr">
        <is>
          <t>Variaball</t>
        </is>
      </c>
      <c r="C199" s="56" t="inlineStr">
        <is>
          <t>Variaball</t>
        </is>
      </c>
      <c r="D199" s="63" t="inlineStr">
        <is>
          <t>A random Variaball from the discards goes into play. Then discard this</t>
        </is>
      </c>
      <c r="E199" s="58" t="n"/>
      <c r="F199" s="61" t="n">
        <v>2</v>
      </c>
      <c r="G199" s="75" t="inlineStr">
        <is>
          <t>From the deck if the discards have none; never the ball already in play</t>
        </is>
      </c>
      <c r="H199" s="76" t="n"/>
      <c r="I199" s="76" t="n"/>
      <c r="J199" s="76" t="n"/>
    </row>
    <row r="200" s="85">
      <c r="A200" s="27" t="n"/>
      <c r="B200" s="28" t="inlineStr">
        <is>
          <t>Variaball</t>
        </is>
      </c>
      <c r="C200" s="56" t="inlineStr">
        <is>
          <t>Shufflebag Ball</t>
        </is>
      </c>
      <c r="D200" s="63" t="inlineStr">
        <is>
          <t>Every possession, the turn player shuffles their hand into the deck and draws the same number, then draws for turn</t>
        </is>
      </c>
      <c r="E200" s="58" t="n"/>
      <c r="F200" s="61" t="n">
        <v>1</v>
      </c>
      <c r="G200" s="75" t="n"/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Bag'n Ball</t>
        </is>
      </c>
      <c r="D201" s="63" t="inlineStr">
        <is>
          <t>Draw 1 card when played. SHOT = 10% for each card in your hand</t>
        </is>
      </c>
      <c r="E201" s="58" t="n"/>
      <c r="F201" s="61" t="n">
        <v>1</v>
      </c>
      <c r="G201" s="75" t="n"/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Blaze Ball</t>
        </is>
      </c>
      <c r="D202" s="63" t="inlineStr">
        <is>
          <t>SHOT +10% as this Ball is Passed</t>
        </is>
      </c>
      <c r="E202" s="58" t="n"/>
      <c r="F202" s="61" t="n">
        <v>5</v>
      </c>
      <c r="G202" s="75" t="inlineStr">
        <is>
          <t>Ignores every other pass modifier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Snow Ball</t>
        </is>
      </c>
      <c r="D203" s="63" t="inlineStr">
        <is>
          <t>SHOT -10% as this Ball is Passed</t>
        </is>
      </c>
      <c r="E203" s="58" t="n"/>
      <c r="F203" s="61" t="n">
        <v>5</v>
      </c>
      <c r="G203" s="75" t="inlineStr">
        <is>
          <t>Blaze Ball's opposite</t>
        </is>
      </c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Brick Ball</t>
        </is>
      </c>
      <c r="D204" s="63" t="inlineStr">
        <is>
          <t>SHOT = 25%</t>
        </is>
      </c>
      <c r="E204" s="58" t="n"/>
      <c r="F204" s="61" t="n">
        <v>2</v>
      </c>
      <c r="G204" s="75" t="n"/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Monster Ball</t>
        </is>
      </c>
      <c r="D205" s="63" t="inlineStr">
        <is>
          <t>Intangibles are absorbed into the ball. When it's discarded, players rebound for them one at a time</t>
        </is>
      </c>
      <c r="E205" s="58" t="n"/>
      <c r="F205" s="61" t="n">
        <v>1</v>
      </c>
      <c r="G205" s="75" t="inlineStr">
        <is>
          <t>Swallows every Intangible already out and every one drawn while it's in play</t>
        </is>
      </c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Brand New Ball</t>
        </is>
      </c>
      <c r="D206" s="63" t="inlineStr">
        <is>
          <t>25% chance a shot attempt is a turnover instead</t>
        </is>
      </c>
      <c r="E206" s="58" t="n"/>
      <c r="F206" s="61" t="n">
        <v>3</v>
      </c>
      <c r="G206" s="75" t="inlineStr">
        <is>
          <t>The round ends</t>
        </is>
      </c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Make-or-Take Ball</t>
        </is>
      </c>
      <c r="D207" s="63" t="inlineStr">
        <is>
          <t>Take 1 FT after missing a shot attempt.</t>
        </is>
      </c>
      <c r="E207" s="58" t="n"/>
      <c r="F207" s="61" t="n">
        <v>3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Hero Ball</t>
        </is>
      </c>
      <c r="D208" s="63" t="inlineStr">
        <is>
          <t>Cannot play Pass cards. Made shots grant no AST. SHOT +25% while shooting. Draw 1 extra when this Ball is rebounded</t>
        </is>
      </c>
      <c r="E208" s="58" t="n"/>
      <c r="F208" s="61" t="n">
        <v>1</v>
      </c>
      <c r="G208" s="75" t="n"/>
      <c r="H208" s="76" t="n"/>
      <c r="I208" s="76" t="n"/>
      <c r="J208" s="76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50:J150"/>
    <mergeCell ref="G119:J119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2026-09-16T03:11:31Z</dcterms:modified>
  <cp:lastModifiedBy>Montre Smith</cp:lastModifiedBy>
</cp:coreProperties>
</file>