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5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COUNTIF($B$5:$B$115,"Pass")</f>
        <v/>
      </c>
      <c r="C2" s="13">
        <f>COUNTIF($B$5:$B$115,"Move")+COUNTIF($B$5:$B$115,"Special Move")</f>
        <v/>
      </c>
      <c r="D2" s="14">
        <f>COUNTIF($B$5:$B$115,"Clamp")</f>
        <v/>
      </c>
      <c r="E2" s="15">
        <f>COUNTIF($B$5:$B$115,"Whistle")</f>
        <v/>
      </c>
      <c r="F2" s="16">
        <f>COUNTIF($B$5:$B$115,"Game Break")</f>
        <v/>
      </c>
      <c r="G2" s="18">
        <f>COUNTIF($B$5:$B$115,"Injury GB")</f>
        <v/>
      </c>
      <c r="H2" s="19">
        <f>COUNTIF($B$5:$B$115,"Devastating Injury GB")</f>
        <v/>
      </c>
      <c r="I2" s="17">
        <f>COUNTIF($B$5:$B$115,"Intangible")</f>
        <v/>
      </c>
      <c r="J2" s="19" t="n"/>
    </row>
    <row r="3"/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COUNTIF($B$5:$B$115,"Pass")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COUNTIF($B$5:$B$115,"Move")+COUNTIF($B$5:$B$115,"Special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COUNTIF($B$5:$B$115,"Special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58" t="inlineStr">
        <is>
          <t>Clamp</t>
        </is>
      </c>
      <c r="B41" s="59">
        <f>COUNTIF($B$5:$B$115,"Clamp")</f>
        <v/>
      </c>
      <c r="C41" s="60" t="n"/>
      <c r="D41" s="60" t="n"/>
      <c r="E41" s="60" t="n"/>
      <c r="F41" s="86" t="n"/>
      <c r="G41" s="109" t="n"/>
      <c r="H41" s="110" t="n"/>
      <c r="I41" s="110" t="n"/>
      <c r="J41" s="110" t="n"/>
    </row>
    <row r="42" ht="28" customHeight="1" s="132">
      <c r="A42" s="29" t="n"/>
      <c r="B42" s="30" t="inlineStr">
        <is>
          <t>Clamp</t>
        </is>
      </c>
      <c r="C42" s="31" t="inlineStr">
        <is>
          <t>Contest</t>
        </is>
      </c>
      <c r="D42" s="6" t="inlineStr">
        <is>
          <t>Next player SHOT -25% if they shoot</t>
        </is>
      </c>
      <c r="E42" s="7" t="n"/>
      <c r="F42" s="76" t="n">
        <v>10</v>
      </c>
      <c r="G42" s="130" t="inlineStr">
        <is>
          <t>1 def</t>
        </is>
      </c>
      <c r="H42" s="102" t="n"/>
      <c r="I42" s="102" t="n"/>
      <c r="J42" s="102" t="n"/>
    </row>
    <row r="43" ht="28" customHeight="1" s="132">
      <c r="A43" s="29" t="n"/>
      <c r="B43" s="30" t="inlineStr">
        <is>
          <t>Clamp</t>
        </is>
      </c>
      <c r="C43" s="32" t="inlineStr">
        <is>
          <t>Double-Team</t>
        </is>
      </c>
      <c r="D43" s="33" t="inlineStr">
        <is>
          <t>Next Player cannot play 2 random cards from hand.</t>
        </is>
      </c>
      <c r="E43" s="34" t="n"/>
      <c r="F43" s="75" t="n">
        <v>4</v>
      </c>
      <c r="G43" s="125" t="inlineStr">
        <is>
          <t>2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1" t="inlineStr">
        <is>
          <t>Full-Court Press</t>
        </is>
      </c>
      <c r="D44" s="6" t="inlineStr">
        <is>
          <t>Next player discards 2 cards at the start of their turn</t>
        </is>
      </c>
      <c r="E44" s="7" t="n"/>
      <c r="F44" s="76" t="n">
        <v>3</v>
      </c>
      <c r="G44" s="130" t="inlineStr">
        <is>
          <t>1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2" t="inlineStr">
        <is>
          <t>Trap</t>
        </is>
      </c>
      <c r="D45" s="94" t="inlineStr">
        <is>
          <t>Next player can only play Pass cards during their turn</t>
        </is>
      </c>
      <c r="E45" s="34" t="n"/>
      <c r="F45" s="75" t="n">
        <v>5</v>
      </c>
      <c r="G45" s="125" t="inlineStr">
        <is>
          <t>They can still shoot as another option; 3 def</t>
        </is>
      </c>
      <c r="H45" s="102" t="n"/>
      <c r="I45" s="102" t="n"/>
      <c r="J45" s="102" t="n"/>
    </row>
    <row r="46" ht="29" customHeight="1" s="132" thickBot="1">
      <c r="A46" s="61" t="n"/>
      <c r="B46" s="62" t="inlineStr">
        <is>
          <t>Clamp</t>
        </is>
      </c>
      <c r="C46" s="66" t="inlineStr">
        <is>
          <t>Triple-Team</t>
        </is>
      </c>
      <c r="D46" s="67" t="inlineStr">
        <is>
          <t>Next player cannot play 3 random cards from hand.</t>
        </is>
      </c>
      <c r="E46" s="68" t="n"/>
      <c r="F46" s="85" t="n">
        <v>2</v>
      </c>
      <c r="G46" s="135" t="inlineStr">
        <is>
          <t>3 def</t>
        </is>
      </c>
      <c r="H46" s="117" t="n"/>
      <c r="I46" s="117" t="n"/>
      <c r="J46" s="117" t="n"/>
    </row>
    <row r="47" ht="20" customHeight="1" s="132">
      <c r="A47" s="58" t="inlineStr">
        <is>
          <t>Whistle</t>
        </is>
      </c>
      <c r="B47" s="59">
        <f>COUNTIF($B$5:$B$115,"Whistle")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inlineStr">
        <is>
          <t>All whistles are limited to 1</t>
        </is>
      </c>
      <c r="B48" s="30" t="inlineStr">
        <is>
          <t>Whistle</t>
        </is>
      </c>
      <c r="C48" s="31" t="inlineStr">
        <is>
          <t>Back Court Violation</t>
        </is>
      </c>
      <c r="D48" s="6" t="inlineStr">
        <is>
          <t>Pass Card Played: Cancel that card. That player TOV +1. Move ball to player of choice</t>
        </is>
      </c>
      <c r="E48" s="7" t="n"/>
      <c r="F48" s="138" t="n"/>
      <c r="G48" s="101" t="inlineStr">
        <is>
          <t>The player who played this whistle chooses, excluding the player who played the pass but including themselves.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Whistle</t>
        </is>
      </c>
      <c r="C49" s="90" t="inlineStr">
        <is>
          <t>Blocking Foul</t>
        </is>
      </c>
      <c r="D49" s="93" t="inlineStr">
        <is>
          <t>Clamp Card Played: Cancel card. Clamped player +1 FT</t>
        </is>
      </c>
      <c r="E49" s="34" t="n"/>
      <c r="F49" s="138" t="n"/>
      <c r="G49" s="107" t="n"/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31" t="inlineStr">
        <is>
          <t>Charge</t>
        </is>
      </c>
      <c r="D50" s="92" t="inlineStr">
        <is>
          <t>Shot Attempt: Cancel. Shooter Inbounds</t>
        </is>
      </c>
      <c r="E50" s="7" t="n"/>
      <c r="F50" s="138" t="n"/>
      <c r="G50" s="101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2" t="inlineStr">
        <is>
          <t>Cleared to Play</t>
        </is>
      </c>
      <c r="D51" s="33" t="inlineStr">
        <is>
          <t>Injury Card Played: Cancel card.</t>
        </is>
      </c>
      <c r="E51" s="34" t="n"/>
      <c r="F51" s="138" t="n"/>
      <c r="G51" s="107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1" t="inlineStr">
        <is>
          <t>Coach’s Challenge</t>
        </is>
      </c>
      <c r="D52" s="6" t="inlineStr">
        <is>
          <t>Any Whistle Card Played: Cancel card.</t>
        </is>
      </c>
      <c r="E52" s="7" t="inlineStr">
        <is>
          <t>Pull a Timeout from the discards, if one is there, and take it</t>
        </is>
      </c>
      <c r="F52" s="138" t="n"/>
      <c r="G52" s="101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90" t="inlineStr">
        <is>
          <t>Delay-of-Game Warning</t>
        </is>
      </c>
      <c r="D53" s="94" t="inlineStr">
        <is>
          <t>Lower Shot Clock with a card: Cancel that card's effects</t>
        </is>
      </c>
      <c r="E53" s="33" t="inlineStr">
        <is>
          <t>If 2nd time activated this round: Whistle player takes 1 FT in addition</t>
        </is>
      </c>
      <c r="F53" s="139" t="n"/>
      <c r="G53" s="113" t="inlineStr">
        <is>
          <t>The Shot Clock reduction still applies. Game Breaks do not count — those are game events, not cards the player activates.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31" t="inlineStr">
        <is>
          <t>Double Dribble</t>
        </is>
      </c>
      <c r="D54" s="6" t="inlineStr">
        <is>
          <t>Dribble Move Card Played (Dribble, Rhythm Dribble, etc.): Cancel card. Discard 1 card. TOV +1</t>
        </is>
      </c>
      <c r="E54" s="7" t="n"/>
      <c r="F54" s="138" t="n"/>
      <c r="G54" s="101" t="inlineStr">
        <is>
          <t>The dribbling player inbounds. The round is NOT incremented.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Flagrant Foul</t>
        </is>
      </c>
      <c r="D55" s="94" t="inlineStr">
        <is>
          <t>Clamp Card Played: Cancel card. Clamper discard 1. Clamped player +1 FT then gets ball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 II</t>
        </is>
      </c>
      <c r="D56" s="91" t="inlineStr">
        <is>
          <t>Clamp Card Played: Cancel card. Clamper discards Bag. Clamped player +1 FT then gets ball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Goaltending</t>
        </is>
      </c>
      <c r="D57" s="33" t="inlineStr">
        <is>
          <t>Clamp Card Played: Cancel card. Clamped player +2 points. End round.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Inadvertent Whistle</t>
        </is>
      </c>
      <c r="D58" s="91" t="inlineStr">
        <is>
          <t>Any other whistle triggers: Cancel that card. Turn player draws 1 card.</t>
        </is>
      </c>
      <c r="E58" s="7" t="n"/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2" t="inlineStr">
        <is>
          <t>Official Review</t>
        </is>
      </c>
      <c r="D59" s="94" t="inlineStr">
        <is>
          <t>Intangible Played: Discard all Intangibles from player.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Shot Clock Violation</t>
        </is>
      </c>
      <c r="D60" s="91" t="inlineStr">
        <is>
          <t>Shot Clock is changed: TOV +1. Ball OOB</t>
        </is>
      </c>
      <c r="E60" s="7" t="n"/>
      <c r="F60" s="138" t="n"/>
      <c r="G60" s="101" t="inlineStr">
        <is>
          <t>This inbound does NOT increment the round.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2" t="inlineStr">
        <is>
          <t>Technical Foul</t>
        </is>
      </c>
      <c r="D61" s="94" t="inlineStr">
        <is>
          <t>Any Non-Whistle Card Played: Cancel card. Take 1 FT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Timeout</t>
        </is>
      </c>
      <c r="D62" s="91" t="inlineStr">
        <is>
          <t>Immediate: Reset Shot Clock. You inbound. All players draw 1 card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61" t="n"/>
      <c r="B63" s="62" t="inlineStr">
        <is>
          <t>Whistle</t>
        </is>
      </c>
      <c r="C63" s="63" t="inlineStr">
        <is>
          <t>Travel</t>
        </is>
      </c>
      <c r="D63" s="64" t="inlineStr">
        <is>
          <t>Move card played: Cancel card. TOV +1</t>
        </is>
      </c>
      <c r="E63" s="65" t="n"/>
      <c r="F63" s="140" t="n"/>
      <c r="G63" s="116" t="n"/>
      <c r="H63" s="117" t="n"/>
      <c r="I63" s="117" t="n"/>
      <c r="J63" s="117" t="n"/>
    </row>
    <row r="64" ht="20" customHeight="1" s="132">
      <c r="A64" s="61" t="n"/>
      <c r="B64" s="62" t="inlineStr">
        <is>
          <t>Whistle</t>
        </is>
      </c>
      <c r="C64" s="63" t="inlineStr">
        <is>
          <t>Clear Path Foul</t>
        </is>
      </c>
      <c r="D64" s="64" t="inlineStr">
        <is>
          <t>On Shot, when Clamped by SHOT-reducing Clamps: Cancel those Clamps. Award the points the shot was worth. Take 1 FT</t>
        </is>
      </c>
      <c r="E64" s="65" t="n"/>
      <c r="F64" s="140" t="n"/>
      <c r="G64" s="116" t="inlineStr">
        <is>
          <t>Fires as the shot starts, before the cutscene. This DOES count as a completed round.</t>
        </is>
      </c>
      <c r="H64" s="117" t="n"/>
      <c r="I64" s="117" t="n"/>
      <c r="J64" s="117" t="n"/>
    </row>
    <row r="65" ht="28" customHeight="1" s="132">
      <c r="A65" s="58" t="inlineStr">
        <is>
          <t>Game Break</t>
        </is>
      </c>
      <c r="B65" s="59">
        <f>COUNTIF($B$5:$B$115,"Game Break")</f>
        <v/>
      </c>
      <c r="C65" s="60" t="n"/>
      <c r="D65" s="60" t="n"/>
      <c r="E65" s="60" t="n"/>
      <c r="F65" s="86" t="n"/>
      <c r="G65" s="109" t="n"/>
      <c r="H65" s="110" t="n"/>
      <c r="I65" s="110" t="n"/>
      <c r="J65" s="110" t="n"/>
    </row>
    <row r="66" ht="28" customHeight="1" s="132">
      <c r="A66" s="29" t="n"/>
      <c r="B66" s="30" t="inlineStr">
        <is>
          <t>Game Break</t>
        </is>
      </c>
      <c r="C66" s="32" t="inlineStr">
        <is>
          <t>2-Minute Warning</t>
        </is>
      </c>
      <c r="D66" s="33" t="inlineStr">
        <is>
          <t>All players discard down to 2 or fewer cards</t>
        </is>
      </c>
      <c r="E66" s="34" t="n"/>
      <c r="F66" s="75" t="n">
        <v>2</v>
      </c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Game Break</t>
        </is>
      </c>
      <c r="C67" s="31" t="inlineStr">
        <is>
          <t>Benched</t>
        </is>
      </c>
      <c r="D67" s="6" t="inlineStr">
        <is>
          <t>Immediately give ball to any other player.</t>
        </is>
      </c>
      <c r="E67" s="7" t="n"/>
      <c r="F67" s="76" t="n">
        <v>5</v>
      </c>
      <c r="G67" s="111" t="inlineStr">
        <is>
          <t>This is not a pass</t>
        </is>
      </c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2" t="inlineStr">
        <is>
          <t>Crowd Noise</t>
        </is>
      </c>
      <c r="D68" s="33" t="inlineStr">
        <is>
          <t>Discard 1 card.</t>
        </is>
      </c>
      <c r="E68" s="34" t="n"/>
      <c r="F68" s="75" t="n">
        <v>14</v>
      </c>
      <c r="G68" s="107" t="n"/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1" t="inlineStr">
        <is>
          <t>Designed Play</t>
        </is>
      </c>
      <c r="D69" s="6" t="inlineStr">
        <is>
          <t>Draw up to a hand of 5</t>
        </is>
      </c>
      <c r="E69" s="7" t="n"/>
      <c r="F69" s="76" t="n">
        <v>10</v>
      </c>
      <c r="G69" s="101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90" t="inlineStr">
        <is>
          <t>Foul</t>
        </is>
      </c>
      <c r="D70" s="33" t="inlineStr">
        <is>
          <t>Take 1 FT</t>
        </is>
      </c>
      <c r="E70" s="34" t="n"/>
      <c r="F70" s="75" t="n">
        <v>5</v>
      </c>
      <c r="G70" s="107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31" t="inlineStr">
        <is>
          <t>MVP Vote</t>
        </is>
      </c>
      <c r="D71" s="6" t="inlineStr">
        <is>
          <t>Draw 3 cards up to a hand of 7</t>
        </is>
      </c>
      <c r="E71" s="7" t="n"/>
      <c r="F71" s="76" t="n">
        <v>1</v>
      </c>
      <c r="G71" s="101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2" t="inlineStr">
        <is>
          <t>Off Night</t>
        </is>
      </c>
      <c r="D72" s="33" t="inlineStr">
        <is>
          <t>SHOT -20% this possession</t>
        </is>
      </c>
      <c r="E72" s="34" t="n"/>
      <c r="F72" s="75" t="n">
        <v>3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Swallowed Whistle</t>
        </is>
      </c>
      <c r="D73" s="6" t="inlineStr">
        <is>
          <t>Whistle cards cannot activate this turn.</t>
        </is>
      </c>
      <c r="E73" s="6" t="inlineStr">
        <is>
          <t>Remains for remainder of round</t>
        </is>
      </c>
      <c r="F73" s="74" t="n">
        <v>5</v>
      </c>
      <c r="G73" s="101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Rock Fight</t>
        </is>
      </c>
      <c r="D74" s="33" t="inlineStr">
        <is>
          <t>Players cannot shoot when SHOT is 50% or higher</t>
        </is>
      </c>
      <c r="E74" s="33" t="inlineStr">
        <is>
          <t>Remains for remainder of round</t>
        </is>
      </c>
      <c r="F74" s="80" t="n"/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Traded Mid-Game</t>
        </is>
      </c>
      <c r="D75" s="6" t="inlineStr">
        <is>
          <t>Swap positions with random other player</t>
        </is>
      </c>
      <c r="E75" s="7" t="n"/>
      <c r="F75" s="76" t="n"/>
      <c r="G75" s="111" t="inlineStr">
        <is>
          <t>Applies to rest of game</t>
        </is>
      </c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134" t="inlineStr">
        <is>
          <t>Salary Cap Increase</t>
        </is>
      </c>
      <c r="D76" s="91" t="inlineStr">
        <is>
          <t>All players draw 2 cards</t>
        </is>
      </c>
      <c r="E76" s="7" t="n"/>
      <c r="F76" s="76" t="n">
        <v>4</v>
      </c>
      <c r="G76" s="11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All-Swissh Selection</t>
        </is>
      </c>
      <c r="D77" s="91" t="inlineStr">
        <is>
          <t>Draw 3 cards after your next make</t>
        </is>
      </c>
      <c r="E77" s="7" t="n"/>
      <c r="F77" s="76" t="n">
        <v>3</v>
      </c>
      <c r="G77" s="111" t="inlineStr">
        <is>
          <t>Arms an icon in the HUD tracking the pending draws</t>
        </is>
      </c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 Star Selection</t>
        </is>
      </c>
      <c r="D78" s="91" t="inlineStr">
        <is>
          <t>Draw 2 cards</t>
        </is>
      </c>
      <c r="E78" s="7" t="n"/>
      <c r="F78" s="76" t="n">
        <v>5</v>
      </c>
      <c r="G78" s="11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Hit the Bike</t>
        </is>
      </c>
      <c r="D79" s="91" t="inlineStr">
        <is>
          <t>Discard all Injuries. Draw 1 card. Give possession to another player</t>
        </is>
      </c>
      <c r="E79" s="7" t="n"/>
      <c r="F79" s="76" t="n">
        <v>5</v>
      </c>
      <c r="G79" s="111" t="inlineStr">
        <is>
          <t>This is not a pass</t>
        </is>
      </c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Ice Wrap</t>
        </is>
      </c>
      <c r="D80" s="91" t="inlineStr">
        <is>
          <t>Draw 1 card. Discard all Injuries. If none, draw 1 additional card</t>
        </is>
      </c>
      <c r="E80" s="7" t="n"/>
      <c r="F80" s="76" t="n">
        <v>5</v>
      </c>
      <c r="G80" s="111" t="n"/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Wet Spot</t>
        </is>
      </c>
      <c r="D81" s="91" t="inlineStr">
        <is>
          <t>All Injuries in the discards and deck are displayed. Take one</t>
        </is>
      </c>
      <c r="E81" s="7" t="n"/>
      <c r="F81" s="76" t="n">
        <v>2</v>
      </c>
      <c r="G81" s="111" t="inlineStr">
        <is>
          <t>Deck ones are shown face down</t>
        </is>
      </c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Fresh Ball</t>
        </is>
      </c>
      <c r="D82" s="91" t="inlineStr">
        <is>
          <t>Next player does not draw at the start of their possession</t>
        </is>
      </c>
      <c r="E82" s="7" t="n"/>
      <c r="F82" s="76" t="n">
        <v>3</v>
      </c>
      <c r="G82" s="111" t="inlineStr">
        <is>
          <t>This is a bad thing in the NBA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Trade Deadline</t>
        </is>
      </c>
      <c r="D83" s="91" t="inlineStr">
        <is>
          <t>Declare Left or Right: every player passes their hand that way. The ball goes with it</t>
        </is>
      </c>
      <c r="E83" s="7" t="n"/>
      <c r="F83" s="76" t="n">
        <v>3</v>
      </c>
      <c r="G83" s="111" t="inlineStr">
        <is>
          <t>The hex travels in the declared direction too</t>
        </is>
      </c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Floor Cleanup</t>
        </is>
      </c>
      <c r="D84" s="91" t="inlineStr">
        <is>
          <t>All players shuffle their hands into the deck and draw the same number of cards</t>
        </is>
      </c>
      <c r="E84" s="7" t="n"/>
      <c r="F84" s="76" t="n">
        <v>3</v>
      </c>
      <c r="G84" s="111" t="n"/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Official Timeout</t>
        </is>
      </c>
      <c r="D85" s="91" t="inlineStr">
        <is>
          <t>Discard all Injuries on all players</t>
        </is>
      </c>
      <c r="E85" s="7" t="n"/>
      <c r="F85" s="76" t="n">
        <v>2</v>
      </c>
      <c r="G85" s="111" t="n"/>
      <c r="H85" s="102" t="n"/>
      <c r="I85" s="102" t="n"/>
      <c r="J85" s="102" t="n"/>
    </row>
    <row r="86" ht="56" customHeight="1" s="132">
      <c r="A86" s="55" t="inlineStr">
        <is>
          <t>Injury GB</t>
        </is>
      </c>
      <c r="B86" s="56">
        <f>COUNTIF($B$5:$B$115,"Injury GB")</f>
        <v/>
      </c>
      <c r="C86" s="57" t="n"/>
      <c r="D86" s="57" t="n"/>
      <c r="E86" s="57" t="n"/>
      <c r="F86" s="88" t="n"/>
      <c r="G86" s="108" t="n"/>
      <c r="H86" s="102" t="n"/>
      <c r="I86" s="102" t="n"/>
      <c r="J86" s="102" t="n"/>
    </row>
    <row r="87" ht="56" customHeight="1" s="132">
      <c r="A87" s="29" t="n"/>
      <c r="B87" s="30" t="inlineStr">
        <is>
          <t>Injury GB</t>
        </is>
      </c>
      <c r="C87" s="31" t="inlineStr">
        <is>
          <t>Bone Bruise</t>
        </is>
      </c>
      <c r="D87" s="91" t="inlineStr">
        <is>
          <t>Discard 1 card at the start of each turn after drawing (your choice)</t>
        </is>
      </c>
      <c r="E87" s="7" t="n"/>
      <c r="F87" s="76" t="n">
        <v>3</v>
      </c>
      <c r="G87" s="101" t="n"/>
      <c r="H87" s="102" t="n"/>
      <c r="I87" s="102" t="n"/>
      <c r="J87" s="102" t="n"/>
    </row>
    <row r="88" ht="28" customHeight="1" s="132">
      <c r="A88" s="58" t="inlineStr">
        <is>
          <t>Devastating Injury GB</t>
        </is>
      </c>
      <c r="B88" s="59">
        <f>COUNTIF($B$5:$B$115,"Devastating Injury GB")</f>
        <v/>
      </c>
      <c r="C88" s="60" t="n"/>
      <c r="D88" s="60" t="n"/>
      <c r="E88" s="60" t="n"/>
      <c r="F88" s="86" t="n"/>
      <c r="G88" s="109" t="n"/>
      <c r="H88" s="110" t="n"/>
      <c r="I88" s="110" t="n"/>
      <c r="J88" s="110" t="n"/>
    </row>
    <row r="89" ht="42" customHeight="1" s="132">
      <c r="A89" s="50" t="n"/>
      <c r="B89" s="51" t="inlineStr">
        <is>
          <t>Devastating Injury GB</t>
        </is>
      </c>
      <c r="C89" s="136" t="inlineStr">
        <is>
          <t>Torn Achilles</t>
        </is>
      </c>
      <c r="D89" s="137" t="inlineStr">
        <is>
          <t>Hand is locked every turn except 1 card (randomly)</t>
        </is>
      </c>
      <c r="E89" s="54" t="n"/>
      <c r="F89" s="141" t="n"/>
      <c r="G89" s="114" t="n"/>
      <c r="H89" s="115" t="n"/>
      <c r="I89" s="115" t="n"/>
      <c r="J89" s="115" t="n"/>
    </row>
    <row r="90" ht="28" customHeight="1" s="132">
      <c r="A90" s="55" t="inlineStr">
        <is>
          <t>Intangible</t>
        </is>
      </c>
      <c r="B90" s="56">
        <f>COUNTIF($B$5:$B$115,"Intangible")</f>
        <v/>
      </c>
      <c r="C90" s="57" t="n"/>
      <c r="D90" s="57" t="n"/>
      <c r="E90" s="57" t="n"/>
      <c r="F90" s="88" t="n"/>
      <c r="G90" s="108" t="n"/>
      <c r="H90" s="102" t="n"/>
      <c r="I90" s="102" t="n"/>
      <c r="J90" s="102" t="n"/>
    </row>
    <row r="91" ht="42" customHeight="1" s="132">
      <c r="A91" s="96" t="inlineStr">
        <is>
          <t>All intangibles are limited to 1</t>
        </is>
      </c>
      <c r="B91" s="30" t="inlineStr">
        <is>
          <t>Intangible</t>
        </is>
      </c>
      <c r="C91" s="31" t="inlineStr">
        <is>
          <t>Board-Crasher</t>
        </is>
      </c>
      <c r="D91" s="6" t="inlineStr">
        <is>
          <t>SHOT +10% upon Rebounding your own missed shot</t>
        </is>
      </c>
      <c r="E91" s="7" t="n"/>
      <c r="F91" s="138" t="n"/>
      <c r="G91" s="101" t="n"/>
      <c r="H91" s="102" t="n"/>
      <c r="I91" s="102" t="n"/>
      <c r="J91" s="102" t="n"/>
    </row>
    <row r="92" ht="14" customHeight="1" s="132">
      <c r="A92" s="29" t="n"/>
      <c r="B92" s="30" t="inlineStr">
        <is>
          <t>Intangible</t>
        </is>
      </c>
      <c r="C92" s="32" t="inlineStr">
        <is>
          <t>Catch &amp; Shoot Specialist</t>
        </is>
      </c>
      <c r="D92" s="33" t="inlineStr">
        <is>
          <t>Additional SHOT +10% on all received passes</t>
        </is>
      </c>
      <c r="E92" s="34" t="n"/>
      <c r="F92" s="138" t="n"/>
      <c r="G92" s="107" t="n"/>
      <c r="H92" s="102" t="n"/>
      <c r="I92" s="102" t="n"/>
      <c r="J92" s="102" t="n"/>
    </row>
    <row r="93" ht="28" customHeight="1" s="132">
      <c r="A93" s="29" t="n"/>
      <c r="B93" s="30" t="inlineStr">
        <is>
          <t>Intangible</t>
        </is>
      </c>
      <c r="C93" s="31" t="inlineStr">
        <is>
          <t>Clutch Gene</t>
        </is>
      </c>
      <c r="D93" s="6" t="inlineStr">
        <is>
          <t>SHOT x2 if attempting a shot with 1 or fewer cards in hand or Shot Clock 3 or less</t>
        </is>
      </c>
      <c r="E93" s="7" t="n"/>
      <c r="F93" s="138" t="n"/>
      <c r="G93" s="101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32" t="inlineStr">
        <is>
          <t>Floor General</t>
        </is>
      </c>
      <c r="D94" s="33" t="inlineStr">
        <is>
          <t>You decide all targets for direct targeting passes</t>
        </is>
      </c>
      <c r="E94" s="34" t="n"/>
      <c r="F94" s="138" t="n"/>
      <c r="G94" s="107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31" t="inlineStr">
        <is>
          <t>Fox-Like First Step</t>
        </is>
      </c>
      <c r="D95" s="6" t="inlineStr">
        <is>
          <t>All Move cards that reduce SHOT increase it by that amount instead.</t>
        </is>
      </c>
      <c r="E95" s="6" t="inlineStr">
        <is>
          <t>Your Move cards are unaffected by opponents</t>
        </is>
      </c>
      <c r="F95" s="139" t="n"/>
      <c r="G95" s="101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90" t="inlineStr">
        <is>
          <t>Freethrow Merchant</t>
        </is>
      </c>
      <c r="D96" s="94" t="inlineStr">
        <is>
          <t>All Clamps on you grant 1 FT instead</t>
        </is>
      </c>
      <c r="E96" s="34" t="n"/>
      <c r="F96" s="138" t="n"/>
      <c r="G96" s="125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90" t="inlineStr">
        <is>
          <t>Generational Whistle</t>
        </is>
      </c>
      <c r="D97" s="91" t="inlineStr">
        <is>
          <t>Take 1 additional FT</t>
        </is>
      </c>
      <c r="E97" s="7" t="n"/>
      <c r="F97" s="138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2" t="inlineStr">
        <is>
          <t>Gravity</t>
        </is>
      </c>
      <c r="D98" s="33" t="inlineStr">
        <is>
          <t>All Clamps automatically apply to you. +1 AST whenever another player attempts a shot</t>
        </is>
      </c>
      <c r="E98" s="34" t="n"/>
      <c r="F98" s="138" t="n"/>
      <c r="G98" s="107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1" t="inlineStr">
        <is>
          <t>Great Conditioning</t>
        </is>
      </c>
      <c r="D99" s="6" t="inlineStr">
        <is>
          <t>Immediately discard all Injury Game Breaks you draw and draw a new card for each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Hot Hand</t>
        </is>
      </c>
      <c r="D100" s="33" t="inlineStr">
        <is>
          <t>SHOT +20% if you scored last round.</t>
        </is>
      </c>
      <c r="E100" s="34" t="n"/>
      <c r="F100" s="138" t="n"/>
      <c r="G100" s="107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Like That</t>
        </is>
      </c>
      <c r="D101" s="91" t="inlineStr">
        <is>
          <t>Your SHOT % cannot be reduced</t>
        </is>
      </c>
      <c r="E101" s="7" t="n"/>
      <c r="F101" s="138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2" t="inlineStr">
        <is>
          <t>No Bag</t>
        </is>
      </c>
      <c r="D102" s="33" t="inlineStr">
        <is>
          <t>Cannot activate Move cards this round</t>
        </is>
      </c>
      <c r="E102" s="34" t="n"/>
      <c r="F102" s="138" t="n"/>
      <c r="G102" s="113" t="inlineStr">
        <is>
          <t>Bad card to draw</t>
        </is>
      </c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1" t="inlineStr">
        <is>
          <t>Point God</t>
        </is>
      </c>
      <c r="D103" s="6" t="inlineStr">
        <is>
          <t>Draw 1 card following each of your passes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Shooting Slump</t>
        </is>
      </c>
      <c r="D104" s="33" t="inlineStr">
        <is>
          <t>SHOT -20% this round</t>
        </is>
      </c>
      <c r="E104" s="34" t="n"/>
      <c r="F104" s="138" t="n"/>
      <c r="G104" s="113" t="inlineStr">
        <is>
          <t>Bad card to draw</t>
        </is>
      </c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Shot Creator</t>
        </is>
      </c>
      <c r="D105" s="6" t="inlineStr">
        <is>
          <t>Draw 1 additional card after every draw effect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Sixth Man</t>
        </is>
      </c>
      <c r="D106" s="33" t="inlineStr">
        <is>
          <t>SHOT = 100% if taking 6th shot of the round</t>
        </is>
      </c>
      <c r="E106" s="34" t="n"/>
      <c r="F106" s="138" t="n"/>
      <c r="G106" s="107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Sniper</t>
        </is>
      </c>
      <c r="D107" s="6" t="inlineStr">
        <is>
          <t>SHOT +10% on all Three-Point Line Shots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Splash Cousin</t>
        </is>
      </c>
      <c r="D108" s="33" t="inlineStr">
        <is>
          <t>All Three-Point Line Shots: SHOT = 100%</t>
        </is>
      </c>
      <c r="E108" s="34" t="n"/>
      <c r="F108" s="138" t="n"/>
      <c r="G108" s="107" t="n"/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1" t="inlineStr">
        <is>
          <t>Unguardable</t>
        </is>
      </c>
      <c r="D109" s="91" t="inlineStr">
        <is>
          <t>All Clamps on you have no effect on SHOT %</t>
        </is>
      </c>
      <c r="E109" s="7" t="n"/>
      <c r="F109" s="138" t="n"/>
      <c r="G109" s="101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2" t="inlineStr">
        <is>
          <t>Lethal Shooter</t>
        </is>
      </c>
      <c r="D110" s="33" t="inlineStr">
        <is>
          <t>SHOT = 100% on next shot attempt after rebounding your own miss.</t>
        </is>
      </c>
      <c r="E110" s="34" t="n"/>
      <c r="F110" s="138" t="n"/>
      <c r="G110" s="113" t="inlineStr">
        <is>
          <t>Special text: “I understand it now”</t>
        </is>
      </c>
      <c r="H110" s="102" t="n"/>
      <c r="I110" s="102" t="n"/>
      <c r="J110" s="102" t="n"/>
    </row>
    <row r="111">
      <c r="A111" s="61" t="n"/>
      <c r="B111" s="62" t="inlineStr">
        <is>
          <t>Intangible</t>
        </is>
      </c>
      <c r="C111" s="66" t="inlineStr">
        <is>
          <t>Ball Pounder</t>
        </is>
      </c>
      <c r="D111" s="95" t="inlineStr">
        <is>
          <t>All Dribble cards you play draw an additional card but lower SHOT by an additional 10%</t>
        </is>
      </c>
      <c r="E111" s="68" t="n"/>
      <c r="F111" s="140" t="n"/>
      <c r="G111" s="126" t="n"/>
      <c r="H111" s="117" t="n"/>
      <c r="I111" s="117" t="n"/>
      <c r="J111" s="117" t="n"/>
    </row>
    <row r="112">
      <c r="A112" s="61" t="n"/>
      <c r="B112" s="62" t="inlineStr">
        <is>
          <t>Intangible</t>
        </is>
      </c>
      <c r="C112" s="66" t="inlineStr">
        <is>
          <t>Unselfish</t>
        </is>
      </c>
      <c r="D112" s="95" t="inlineStr">
        <is>
          <t>Draw 1 card whenever you pass the ball at 50% SHOT or higher</t>
        </is>
      </c>
      <c r="E112" s="68" t="n"/>
      <c r="F112" s="140" t="n"/>
      <c r="G112" s="126" t="n"/>
      <c r="H112" s="117" t="n"/>
      <c r="I112" s="117" t="n"/>
      <c r="J112" s="117" t="n"/>
    </row>
    <row r="113">
      <c r="A113" s="61" t="n"/>
      <c r="B113" s="62" t="inlineStr">
        <is>
          <t>Intangible</t>
        </is>
      </c>
      <c r="C113" s="66" t="inlineStr">
        <is>
          <t>Dirty Player</t>
        </is>
      </c>
      <c r="D113" s="95" t="inlineStr">
        <is>
          <t>When sending Clamps, the clamped player discards 1 if they have any Injuries</t>
        </is>
      </c>
      <c r="E113" s="68" t="n"/>
      <c r="F113" s="140" t="n"/>
      <c r="G113" s="126" t="n"/>
      <c r="H113" s="117" t="n"/>
      <c r="I113" s="117" t="n"/>
      <c r="J113" s="117" t="n"/>
    </row>
    <row r="114">
      <c r="A114" s="61" t="n"/>
      <c r="B114" s="62" t="inlineStr">
        <is>
          <t>Intangible</t>
        </is>
      </c>
      <c r="C114" s="66" t="inlineStr">
        <is>
          <t>Villainous Reputation</t>
        </is>
      </c>
      <c r="D114" s="95" t="inlineStr">
        <is>
          <t>Discard 1 whenever any Whistle triggers</t>
        </is>
      </c>
      <c r="E114" s="68" t="n"/>
      <c r="F114" s="140" t="n"/>
      <c r="G114" s="126" t="inlineStr">
        <is>
          <t>Discarded during play, it attaches to a random player — possibly you again</t>
        </is>
      </c>
    </row>
    <row r="115">
      <c r="A115" s="61" t="n"/>
      <c r="B115" s="62" t="inlineStr">
        <is>
          <t>Intangible</t>
        </is>
      </c>
      <c r="C115" s="66" t="inlineStr">
        <is>
          <t>Free Agent</t>
        </is>
      </c>
      <c r="D115" s="95" t="inlineStr">
        <is>
          <t>Discard your hand. Play a card at random from a player of your choosing (they keep it)</t>
        </is>
      </c>
      <c r="E115" s="68" t="n"/>
      <c r="F115" s="140" t="n"/>
      <c r="G115" s="126" t="inlineStr">
        <is>
          <t>The discard waits for the draw chain to finish. Target is shuffled first and is affected by Floor General. Your own draws are kept. All-0 rebounds are yours; otherwise you cannot bid</t>
        </is>
      </c>
    </row>
  </sheetData>
  <mergeCells count="102">
    <mergeCell ref="G55:J55"/>
    <mergeCell ref="G4:J4"/>
    <mergeCell ref="G109:J109"/>
    <mergeCell ref="G47:J47"/>
    <mergeCell ref="G32:J32"/>
    <mergeCell ref="G46:J46"/>
    <mergeCell ref="G40:J40"/>
    <mergeCell ref="G111:J111"/>
    <mergeCell ref="G72:J72"/>
    <mergeCell ref="G81:J81"/>
    <mergeCell ref="G96:J96"/>
    <mergeCell ref="G5:J5"/>
    <mergeCell ref="G71:J71"/>
    <mergeCell ref="G8:J8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0:J110"/>
    <mergeCell ref="G113:J113"/>
    <mergeCell ref="G20:J20"/>
    <mergeCell ref="G29:J29"/>
    <mergeCell ref="G91:J91"/>
    <mergeCell ref="G100:J100"/>
    <mergeCell ref="G94:J94"/>
    <mergeCell ref="G85:J85"/>
    <mergeCell ref="G75:J75"/>
    <mergeCell ref="G44:J44"/>
    <mergeCell ref="G22:J22"/>
    <mergeCell ref="G102:J102"/>
    <mergeCell ref="G31:J31"/>
    <mergeCell ref="G12:J12"/>
    <mergeCell ref="G77:J77"/>
    <mergeCell ref="G86:J86"/>
    <mergeCell ref="G21:J21"/>
    <mergeCell ref="G67:J67"/>
    <mergeCell ref="G61:J61"/>
    <mergeCell ref="G70:J70"/>
    <mergeCell ref="G48:J48"/>
    <mergeCell ref="G97:J97"/>
    <mergeCell ref="G7:J7"/>
    <mergeCell ref="G38:J38"/>
    <mergeCell ref="G84:J84"/>
    <mergeCell ref="G112:J112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90:J90"/>
    <mergeCell ref="G99:J99"/>
    <mergeCell ref="G60:J60"/>
    <mergeCell ref="G9:J9"/>
    <mergeCell ref="G59:J59"/>
    <mergeCell ref="G11:J11"/>
    <mergeCell ref="G39:J39"/>
    <mergeCell ref="G101:J101"/>
    <mergeCell ref="G103:J103"/>
    <mergeCell ref="G37:J37"/>
    <mergeCell ref="A4:B4"/>
    <mergeCell ref="G13:J13"/>
    <mergeCell ref="G87:J87"/>
    <mergeCell ref="G15:J15"/>
    <mergeCell ref="G95:J95"/>
    <mergeCell ref="G89:J89"/>
    <mergeCell ref="G64:J64"/>
    <mergeCell ref="G73:J73"/>
    <mergeCell ref="G51:J51"/>
    <mergeCell ref="G54:J54"/>
    <mergeCell ref="G63:J63"/>
    <mergeCell ref="G41:J41"/>
    <mergeCell ref="G106:J106"/>
    <mergeCell ref="G50:J50"/>
    <mergeCell ref="G56:J56"/>
    <mergeCell ref="G14:J14"/>
    <mergeCell ref="G105:J105"/>
    <mergeCell ref="G43:J43"/>
    <mergeCell ref="G52:J52"/>
    <mergeCell ref="G27:J27"/>
    <mergeCell ref="G98:J98"/>
    <mergeCell ref="G107:J107"/>
    <mergeCell ref="G36:J36"/>
    <mergeCell ref="G42:J42"/>
    <mergeCell ref="G17:J17"/>
    <mergeCell ref="G19:J19"/>
    <mergeCell ref="G93:J93"/>
    <mergeCell ref="G28:J28"/>
    <mergeCell ref="G6:J6"/>
    <mergeCell ref="G69:J69"/>
    <mergeCell ref="G92:J92"/>
    <mergeCell ref="G30:J30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2026-09-05T05:51:31Z</dcterms:modified>
  <cp:lastModifiedBy>Montre Smith</cp:lastModifiedBy>
</cp:coreProperties>
</file>