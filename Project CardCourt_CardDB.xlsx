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5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COUNTIF($B$5:$B$135,"Pass")</f>
        <v/>
      </c>
      <c r="C2" s="13">
        <f>COUNTIF($B$5:$B$135,"Move")+COUNTIF($B$5:$B$135,"Special Move")</f>
        <v/>
      </c>
      <c r="D2" s="14">
        <f>COUNTIF($B$5:$B$135,"Clamp")</f>
        <v/>
      </c>
      <c r="E2" s="15">
        <f>COUNTIF($B$5:$B$135,"Whistle")</f>
        <v/>
      </c>
      <c r="F2" s="16">
        <f>COUNTIF($B$5:$B$135,"Game Break")</f>
        <v/>
      </c>
      <c r="G2" s="18">
        <f>COUNTIF($B$5:$B$135,"Injury GB")</f>
        <v/>
      </c>
      <c r="H2" s="19">
        <f>COUNTIF($B$5:$B$135,"Devastating Injury GB")</f>
        <v/>
      </c>
      <c r="I2" s="17">
        <f>COUNTIF($B$5:$B$135,"Intangible")</f>
        <v/>
      </c>
      <c r="J2" s="19" t="n"/>
    </row>
    <row r="3"/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COUNTIF($B$5:$B$135,"Pass")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5" t="n"/>
      <c r="B15" s="36" t="inlineStr">
        <is>
          <t>Pass</t>
        </is>
      </c>
      <c r="C15" s="37" t="inlineStr">
        <is>
          <t>Alley-Oop</t>
        </is>
      </c>
      <c r="D15" s="38" t="inlineStr">
        <is>
          <t>SHOT +20%. Pass to player of choice</t>
        </is>
      </c>
      <c r="E15" s="38" t="inlineStr">
        <is>
          <t>Receiving player shoots immediately after drawing for turn</t>
        </is>
      </c>
      <c r="F15" s="77" t="n">
        <v>5</v>
      </c>
      <c r="G15" s="127" t="n"/>
      <c r="H15" s="104" t="n"/>
      <c r="I15" s="104" t="n"/>
      <c r="J15" s="104" t="n"/>
    </row>
    <row r="16" ht="14" customHeight="1" s="132">
      <c r="A16" s="35" t="n"/>
      <c r="B16" s="36" t="inlineStr">
        <is>
          <t>Pass</t>
        </is>
      </c>
      <c r="C16" s="37" t="inlineStr">
        <is>
          <t>Hand-Off</t>
        </is>
      </c>
      <c r="D16" s="38" t="inlineStr">
        <is>
          <t>SHOT +5%. Pass to player to Left or Right. Draw 1 card</t>
        </is>
      </c>
      <c r="E16" s="38" t="inlineStr">
        <is>
          <t>If played following a Dribble: draw 1 additional and SHOT +5% more</t>
        </is>
      </c>
      <c r="F16" s="77" t="n">
        <v>10</v>
      </c>
      <c r="G16" s="127" t="inlineStr">
        <is>
          <t>This is the Dribble Hand-Off</t>
        </is>
      </c>
      <c r="H16" s="104" t="n"/>
      <c r="I16" s="104" t="n"/>
      <c r="J16" s="104" t="n"/>
    </row>
    <row r="17" ht="28" customHeight="1" s="132">
      <c r="A17" s="35" t="n"/>
      <c r="B17" s="36" t="inlineStr">
        <is>
          <t>Pass</t>
        </is>
      </c>
      <c r="C17" s="37" t="inlineStr">
        <is>
          <t>Outlet Pass</t>
        </is>
      </c>
      <c r="D17" s="38" t="inlineStr">
        <is>
          <t>SHOT +10%. Shot Clock +01. Pass to player of choice</t>
        </is>
      </c>
      <c r="E17" s="38" t="n"/>
      <c r="F17" s="77" t="n">
        <v>3</v>
      </c>
      <c r="G17" s="127" t="inlineStr">
        <is>
          <t>The clock increments instead of decrementing — it does not break even</t>
        </is>
      </c>
      <c r="H17" s="104" t="n"/>
      <c r="I17" s="104" t="n"/>
      <c r="J17" s="104" t="n"/>
    </row>
    <row r="18" ht="28" customHeight="1" s="132">
      <c r="A18" s="35" t="n"/>
      <c r="B18" s="36" t="inlineStr">
        <is>
          <t>Pass</t>
        </is>
      </c>
      <c r="C18" s="37" t="inlineStr">
        <is>
          <t>Kick-Out</t>
        </is>
      </c>
      <c r="D18" s="38" t="inlineStr">
        <is>
          <t>SHOT +10%. Upgraded to 3pt. Pass to player of choice</t>
        </is>
      </c>
      <c r="E18" s="38" t="inlineStr">
        <is>
          <t>Following Drive: draw 1. Following a Dribble Drive: gain 1 AST also</t>
        </is>
      </c>
      <c r="F18" s="77" t="n">
        <v>3</v>
      </c>
      <c r="G18" s="127" t="inlineStr">
        <is>
          <t>The most it grants is a draw and 1 AST</t>
        </is>
      </c>
      <c r="H18" s="104" t="n"/>
      <c r="I18" s="104" t="n"/>
      <c r="J18" s="104" t="n"/>
    </row>
    <row r="19" ht="56" customHeight="1" s="132">
      <c r="A19" s="35" t="n"/>
      <c r="B19" s="36" t="inlineStr">
        <is>
          <t>Pass</t>
        </is>
      </c>
      <c r="C19" s="37" t="inlineStr">
        <is>
          <t>Right Back</t>
        </is>
      </c>
      <c r="D19" s="38" t="inlineStr">
        <is>
          <t>SHOT +5%. Pass to player of choice. They immediately pass it back</t>
        </is>
      </c>
      <c r="E19" s="38" t="n"/>
      <c r="F19" s="77" t="n">
        <v>7</v>
      </c>
      <c r="G19" s="127" t="inlineStr">
        <is>
          <t>Results in a draw for each player and SHOT +10% overall. Whatever the trip costs them happens in between</t>
        </is>
      </c>
      <c r="H19" s="104" t="n"/>
      <c r="I19" s="104" t="n"/>
      <c r="J19" s="104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27" t="n"/>
      <c r="H20" s="104" t="n"/>
      <c r="I20" s="104" t="n"/>
      <c r="J20" s="104" t="n"/>
    </row>
    <row r="21" ht="14" customHeight="1" s="132">
      <c r="A21" s="39" t="inlineStr">
        <is>
          <t>Move</t>
        </is>
      </c>
      <c r="B21" s="40">
        <f>COUNTIF($B$5:$B$135,"Move")+COUNTIF($B$5:$B$135,"Special Move")</f>
        <v/>
      </c>
      <c r="C21" s="41" t="n"/>
      <c r="D21" s="41" t="n"/>
      <c r="E21" s="41" t="n"/>
      <c r="F21" s="78" t="n"/>
      <c r="G21" s="120" t="n"/>
      <c r="H21" s="121" t="n"/>
      <c r="I21" s="121" t="n"/>
      <c r="J21" s="121" t="n"/>
    </row>
    <row r="22" ht="28" customHeight="1" s="132">
      <c r="A22" s="45" t="n"/>
      <c r="B22" s="46" t="inlineStr">
        <is>
          <t>Move</t>
        </is>
      </c>
      <c r="C22" s="47" t="inlineStr">
        <is>
          <t>Dribble</t>
        </is>
      </c>
      <c r="D22" s="48" t="inlineStr">
        <is>
          <t>Draw 1 card. SHOT -10%</t>
        </is>
      </c>
      <c r="E22" s="49" t="n"/>
      <c r="F22" s="79" t="n">
        <v>15</v>
      </c>
      <c r="G22" s="118" t="n"/>
      <c r="H22" s="119" t="n"/>
      <c r="I22" s="119" t="n"/>
      <c r="J22" s="119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n"/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61" t="n"/>
      <c r="B33" s="62" t="inlineStr">
        <is>
          <t>Move</t>
        </is>
      </c>
      <c r="C33" s="63" t="inlineStr">
        <is>
          <t>Triple Threat</t>
        </is>
      </c>
      <c r="D33" s="64" t="inlineStr">
        <is>
          <t>Choose 1:
Draw 1 card
Pass to player of choice (SHOT +5%)
SHOT +10%</t>
        </is>
      </c>
      <c r="E33" s="64" t="inlineStr">
        <is>
          <t>Cannot use further Move cards</t>
        </is>
      </c>
      <c r="F33" s="81" t="n">
        <v>15</v>
      </c>
      <c r="G33" s="116" t="inlineStr">
        <is>
          <t>Cannot use further Move cards applies to that possession only.</t>
        </is>
      </c>
      <c r="H33" s="117" t="n"/>
      <c r="I33" s="117" t="n"/>
      <c r="J33" s="117" t="n"/>
    </row>
    <row r="34" ht="14" customHeight="1" s="132">
      <c r="A34" s="61" t="n"/>
      <c r="B34" s="62" t="inlineStr">
        <is>
          <t>Move</t>
        </is>
      </c>
      <c r="C34" s="63" t="inlineStr">
        <is>
          <t>Clear Out</t>
        </is>
      </c>
      <c r="D34" s="64" t="inlineStr">
        <is>
          <t>First action only. The next pass to a side goes past you. One that named you is a TOV and ends the round</t>
        </is>
      </c>
      <c r="E34" s="64" t="n"/>
      <c r="F34" s="81" t="n">
        <v>8</v>
      </c>
      <c r="G34" s="116" t="n"/>
      <c r="H34" s="117" t="n"/>
      <c r="I34" s="117" t="n"/>
      <c r="J34" s="117" t="n"/>
    </row>
    <row r="35" ht="28" customHeight="1" s="132">
      <c r="A35" s="42" t="inlineStr">
        <is>
          <t>Special Move</t>
        </is>
      </c>
      <c r="B35" s="43">
        <f>COUNTIF($B$5:$B$135,"Special Move")</f>
        <v/>
      </c>
      <c r="C35" s="44" t="n"/>
      <c r="D35" s="44" t="n"/>
      <c r="E35" s="44" t="n"/>
      <c r="F35" s="82" t="n"/>
      <c r="G35" s="120" t="n"/>
      <c r="H35" s="121" t="n"/>
      <c r="I35" s="121" t="n"/>
      <c r="J35" s="121" t="n"/>
    </row>
    <row r="36" ht="28" customHeight="1" s="132">
      <c r="A36" s="24" t="n"/>
      <c r="B36" s="25" t="inlineStr">
        <is>
          <t>Special Move</t>
        </is>
      </c>
      <c r="C36" s="26" t="inlineStr">
        <is>
          <t>Bankshot</t>
        </is>
      </c>
      <c r="D36" s="27" t="inlineStr">
        <is>
          <t>Flip a coin:
Heads: SHOT +10%
Tails: SHOT -10%</t>
        </is>
      </c>
      <c r="E36" s="27" t="inlineStr">
        <is>
          <t>Shoot the ball</t>
        </is>
      </c>
      <c r="F36" s="83" t="n">
        <v>4</v>
      </c>
      <c r="G36" s="105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28" t="inlineStr">
        <is>
          <t>Can only play with Shot Clock at 1</t>
        </is>
      </c>
      <c r="H37" s="106" t="n"/>
      <c r="I37" s="106" t="n"/>
      <c r="J37" s="106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5" t="n"/>
      <c r="H38" s="106" t="n"/>
      <c r="I38" s="106" t="n"/>
      <c r="J38" s="106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12" t="n"/>
      <c r="H39" s="106" t="n"/>
      <c r="I39" s="106" t="n"/>
      <c r="J39" s="106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5" t="n"/>
      <c r="H40" s="106" t="n"/>
      <c r="I40" s="106" t="n"/>
      <c r="J40" s="106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12" t="n"/>
      <c r="H41" s="106" t="n"/>
      <c r="I41" s="106" t="n"/>
      <c r="J41" s="106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5" t="n"/>
      <c r="H42" s="106" t="n"/>
      <c r="I42" s="106" t="n"/>
      <c r="J42" s="106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12" t="n"/>
      <c r="H43" s="106" t="n"/>
      <c r="I43" s="106" t="n"/>
      <c r="J43" s="106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5" t="n"/>
      <c r="H44" s="106" t="n"/>
      <c r="I44" s="106" t="n"/>
      <c r="J44" s="106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12" t="n"/>
      <c r="H45" s="106" t="n"/>
      <c r="I45" s="106" t="n"/>
      <c r="J45" s="106" t="n"/>
    </row>
    <row r="46" ht="42" customHeight="1" s="132">
      <c r="A46" s="52" t="n"/>
      <c r="B46" s="53" t="inlineStr">
        <is>
          <t>Special Move</t>
        </is>
      </c>
      <c r="C46" s="69" t="inlineStr">
        <is>
          <t>Turnaround Three</t>
        </is>
      </c>
      <c r="D46" s="70" t="inlineStr">
        <is>
          <t>Discard any number of cards. SHOT +10% for each</t>
        </is>
      </c>
      <c r="E46" s="70" t="inlineStr">
        <is>
          <t>Shoot the ball. +1 Point on make</t>
        </is>
      </c>
      <c r="F46" s="84" t="n">
        <v>1</v>
      </c>
      <c r="G46" s="129" t="inlineStr">
        <is>
          <t>Only 1 in deck</t>
        </is>
      </c>
      <c r="H46" s="106" t="n"/>
      <c r="I46" s="106" t="n"/>
      <c r="J46" s="106" t="n"/>
    </row>
    <row r="47" ht="42" customHeight="1" s="132">
      <c r="A47" s="61" t="n"/>
      <c r="B47" s="62" t="inlineStr">
        <is>
          <t>Special Move</t>
        </is>
      </c>
      <c r="C47" s="66" t="inlineStr">
        <is>
          <t>Euro Step</t>
        </is>
      </c>
      <c r="D47" s="67" t="inlineStr">
        <is>
          <t>Flip a coin until you get Tails. For each Heads, SHOT +5% and Draw 1 card</t>
        </is>
      </c>
      <c r="E47" s="68" t="n"/>
      <c r="F47" s="85" t="n">
        <v>5</v>
      </c>
      <c r="G47" s="122" t="n"/>
      <c r="H47" s="104" t="n"/>
      <c r="I47" s="104" t="n"/>
      <c r="J47" s="104" t="n"/>
    </row>
    <row r="48" ht="29" customHeight="1" s="132">
      <c r="A48" s="61" t="n"/>
      <c r="B48" s="62" t="inlineStr">
        <is>
          <t>Special Move</t>
        </is>
      </c>
      <c r="C48" s="66" t="inlineStr">
        <is>
          <t>Wide-Open Three</t>
        </is>
      </c>
      <c r="D48" s="67" t="inlineStr">
        <is>
          <t>Select any number of other players. SHOT +10% for each</t>
        </is>
      </c>
      <c r="E48" s="68" t="inlineStr">
        <is>
          <t>Shoot the ball. +1 Point on make. Selected players receive +1 AST on a make</t>
        </is>
      </c>
      <c r="F48" s="85" t="n">
        <v>2</v>
      </c>
      <c r="G48" s="122" t="inlineStr">
        <is>
          <t>Selecting none rolls off current SHOT and is still a three</t>
        </is>
      </c>
      <c r="H48" s="104" t="n"/>
      <c r="I48" s="104" t="n"/>
      <c r="J48" s="104" t="n"/>
    </row>
    <row r="49" ht="20" customHeight="1" s="132">
      <c r="A49" s="58" t="inlineStr">
        <is>
          <t>Clamp</t>
        </is>
      </c>
      <c r="B49" s="59">
        <f>COUNTIF($B$5:$B$135,"Clamp")</f>
        <v/>
      </c>
      <c r="C49" s="60" t="n"/>
      <c r="D49" s="60" t="n"/>
      <c r="E49" s="60" t="n"/>
      <c r="F49" s="86" t="n"/>
      <c r="G49" s="109" t="n"/>
      <c r="H49" s="110" t="n"/>
      <c r="I49" s="110" t="n"/>
      <c r="J49" s="110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61" t="n"/>
      <c r="B54" s="62" t="inlineStr">
        <is>
          <t>Clamp</t>
        </is>
      </c>
      <c r="C54" s="66" t="inlineStr">
        <is>
          <t>Triple-Team</t>
        </is>
      </c>
      <c r="D54" s="67" t="inlineStr">
        <is>
          <t>Next player cannot play 3 random cards from hand.</t>
        </is>
      </c>
      <c r="E54" s="68" t="n"/>
      <c r="F54" s="85" t="n">
        <v>2</v>
      </c>
      <c r="G54" s="135" t="inlineStr">
        <is>
          <t>3 def</t>
        </is>
      </c>
      <c r="H54" s="117" t="n"/>
      <c r="I54" s="117" t="n"/>
      <c r="J54" s="117" t="n"/>
    </row>
    <row r="55" ht="28" customHeight="1" s="132">
      <c r="A55" s="58" t="inlineStr">
        <is>
          <t>Whistle</t>
        </is>
      </c>
      <c r="B55" s="59">
        <f>COUNTIF($B$5:$B$135,"Whistle")</f>
        <v/>
      </c>
      <c r="C55" s="60" t="n"/>
      <c r="D55" s="60" t="n"/>
      <c r="E55" s="60" t="n"/>
      <c r="F55" s="86" t="n"/>
      <c r="G55" s="109" t="n"/>
      <c r="H55" s="110" t="n"/>
      <c r="I55" s="110" t="n"/>
      <c r="J55" s="110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61" t="n"/>
      <c r="B71" s="62" t="inlineStr">
        <is>
          <t>Whistle</t>
        </is>
      </c>
      <c r="C71" s="63" t="inlineStr">
        <is>
          <t>Travel</t>
        </is>
      </c>
      <c r="D71" s="64" t="inlineStr">
        <is>
          <t>Move card played: Cancel card. TOV +1</t>
        </is>
      </c>
      <c r="E71" s="65" t="n"/>
      <c r="F71" s="140" t="n"/>
      <c r="G71" s="116" t="n"/>
      <c r="H71" s="117" t="n"/>
      <c r="I71" s="117" t="n"/>
      <c r="J71" s="117" t="n"/>
    </row>
    <row r="72" ht="28" customHeight="1" s="132">
      <c r="A72" s="61" t="n"/>
      <c r="B72" s="62" t="inlineStr">
        <is>
          <t>Whistle</t>
        </is>
      </c>
      <c r="C72" s="63" t="inlineStr">
        <is>
          <t>Clear Path Foul</t>
        </is>
      </c>
      <c r="D72" s="64" t="inlineStr">
        <is>
          <t>On Shot, when Clamped by SHOT-reducing Clamps: Cancel those Clamps. Award the points the shot was worth. Take 1 FT</t>
        </is>
      </c>
      <c r="E72" s="65" t="n"/>
      <c r="F72" s="140" t="n"/>
      <c r="G72" s="116" t="inlineStr">
        <is>
          <t>Fires as the shot starts, before the cutscene. This DOES count as a completed round.</t>
        </is>
      </c>
      <c r="H72" s="117" t="n"/>
      <c r="I72" s="117" t="n"/>
      <c r="J72" s="117" t="n"/>
    </row>
    <row r="73" ht="28" customHeight="1" s="132">
      <c r="A73" s="61" t="n"/>
      <c r="B73" s="62" t="inlineStr">
        <is>
          <t>Whistle</t>
        </is>
      </c>
      <c r="C73" s="63" t="inlineStr">
        <is>
          <t>Play-On</t>
        </is>
      </c>
      <c r="D73" s="64" t="inlineStr">
        <is>
          <t>Discard each Game Break drawn and draw again, until a card is not one</t>
        </is>
      </c>
      <c r="E73" s="65" t="n"/>
      <c r="F73" s="140" t="n"/>
      <c r="G73" s="116" t="inlineStr">
        <is>
          <t>Raised where the Break lands, like Cleared to Play — nobody plays a Break</t>
        </is>
      </c>
      <c r="H73" s="117" t="n"/>
      <c r="I73" s="117" t="n"/>
      <c r="J73" s="117" t="n"/>
    </row>
    <row r="74" ht="28" customHeight="1" s="132">
      <c r="A74" s="58" t="inlineStr">
        <is>
          <t>Game Break</t>
        </is>
      </c>
      <c r="B74" s="59">
        <f>COUNTIF($B$5:$B$135,"Game Break")</f>
        <v/>
      </c>
      <c r="C74" s="60" t="n"/>
      <c r="D74" s="60" t="n"/>
      <c r="E74" s="60" t="n"/>
      <c r="F74" s="86" t="n"/>
      <c r="G74" s="109" t="n"/>
      <c r="H74" s="110" t="n"/>
      <c r="I74" s="110" t="n"/>
      <c r="J74" s="110" t="n"/>
    </row>
    <row r="75" ht="28" customHeight="1" s="132">
      <c r="A75" s="29" t="n"/>
      <c r="B75" s="30" t="inlineStr">
        <is>
          <t>Game Break</t>
        </is>
      </c>
      <c r="C75" s="32" t="inlineStr">
        <is>
          <t>2-Minute Warning</t>
        </is>
      </c>
      <c r="D75" s="33" t="inlineStr">
        <is>
          <t>All players discard down to 2 or fewer cards</t>
        </is>
      </c>
      <c r="E75" s="34" t="n"/>
      <c r="F75" s="75" t="n">
        <v>2</v>
      </c>
      <c r="G75" s="107" t="n"/>
      <c r="H75" s="102" t="n"/>
      <c r="I75" s="102" t="n"/>
      <c r="J75" s="102" t="n"/>
    </row>
    <row r="76" ht="42" customHeight="1" s="132">
      <c r="A76" s="29" t="n"/>
      <c r="B76" s="30" t="inlineStr">
        <is>
          <t>Game Break</t>
        </is>
      </c>
      <c r="C76" s="31" t="inlineStr">
        <is>
          <t>Benched</t>
        </is>
      </c>
      <c r="D76" s="6" t="inlineStr">
        <is>
          <t>Immediately give ball to any other player.</t>
        </is>
      </c>
      <c r="E76" s="7" t="n"/>
      <c r="F76" s="76" t="n">
        <v>5</v>
      </c>
      <c r="G76" s="111" t="inlineStr">
        <is>
          <t>This is not a pass</t>
        </is>
      </c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32" t="inlineStr">
        <is>
          <t>Crowd Noise</t>
        </is>
      </c>
      <c r="D77" s="33" t="inlineStr">
        <is>
          <t>Discard 1 card.</t>
        </is>
      </c>
      <c r="E77" s="34" t="n"/>
      <c r="F77" s="75" t="n">
        <v>14</v>
      </c>
      <c r="G77" s="107" t="n"/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1" t="inlineStr">
        <is>
          <t>Designed Play</t>
        </is>
      </c>
      <c r="D78" s="6" t="inlineStr">
        <is>
          <t>Draw up to a hand of 5</t>
        </is>
      </c>
      <c r="E78" s="7" t="n"/>
      <c r="F78" s="76" t="n">
        <v>10</v>
      </c>
      <c r="G78" s="101" t="n"/>
      <c r="H78" s="102" t="n"/>
      <c r="I78" s="102" t="n"/>
      <c r="J78" s="102" t="n"/>
    </row>
    <row r="79" ht="20" customHeight="1" s="132">
      <c r="A79" s="29" t="n"/>
      <c r="B79" s="30" t="inlineStr">
        <is>
          <t>Game Break</t>
        </is>
      </c>
      <c r="C79" s="90" t="inlineStr">
        <is>
          <t>Foul</t>
        </is>
      </c>
      <c r="D79" s="33" t="inlineStr">
        <is>
          <t>Take 1 FT</t>
        </is>
      </c>
      <c r="E79" s="34" t="n"/>
      <c r="F79" s="75" t="n">
        <v>5</v>
      </c>
      <c r="G79" s="107" t="n"/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31" t="inlineStr">
        <is>
          <t>MVP Vote</t>
        </is>
      </c>
      <c r="D80" s="6" t="inlineStr">
        <is>
          <t>Draw 3 cards up to a hand of 7</t>
        </is>
      </c>
      <c r="E80" s="7" t="n"/>
      <c r="F80" s="76" t="n">
        <v>1</v>
      </c>
      <c r="G80" s="101" t="n"/>
      <c r="H80" s="102" t="n"/>
      <c r="I80" s="102" t="n"/>
      <c r="J80" s="102" t="n"/>
    </row>
    <row r="81" ht="20" customHeight="1" s="132">
      <c r="A81" s="29" t="n"/>
      <c r="B81" s="30" t="inlineStr">
        <is>
          <t>Game Break</t>
        </is>
      </c>
      <c r="C81" s="32" t="inlineStr">
        <is>
          <t>Off Night</t>
        </is>
      </c>
      <c r="D81" s="33" t="inlineStr">
        <is>
          <t>SHOT -20% this possession</t>
        </is>
      </c>
      <c r="E81" s="34" t="n"/>
      <c r="F81" s="75" t="n">
        <v>3</v>
      </c>
      <c r="G81" s="107" t="n"/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31" t="inlineStr">
        <is>
          <t>Swallowed Whistle</t>
        </is>
      </c>
      <c r="D82" s="6" t="inlineStr">
        <is>
          <t>Whistle cards cannot activate this turn.</t>
        </is>
      </c>
      <c r="E82" s="6" t="inlineStr">
        <is>
          <t>Remains for remainder of round</t>
        </is>
      </c>
      <c r="F82" s="74" t="n">
        <v>5</v>
      </c>
      <c r="G82" s="101" t="n"/>
      <c r="H82" s="102" t="n"/>
      <c r="I82" s="102" t="n"/>
      <c r="J82" s="102" t="n"/>
    </row>
    <row r="83" ht="28" customHeight="1" s="132">
      <c r="A83" s="29" t="n"/>
      <c r="B83" s="30" t="inlineStr">
        <is>
          <t>Game Break</t>
        </is>
      </c>
      <c r="C83" s="32" t="inlineStr">
        <is>
          <t>Rock Fight</t>
        </is>
      </c>
      <c r="D83" s="33" t="inlineStr">
        <is>
          <t>Players cannot shoot when SHOT is 50% or higher</t>
        </is>
      </c>
      <c r="E83" s="33" t="inlineStr">
        <is>
          <t>Remains for remainder of round</t>
        </is>
      </c>
      <c r="F83" s="80" t="n">
        <v>4</v>
      </c>
      <c r="G83" s="107" t="n"/>
      <c r="H83" s="102" t="n"/>
      <c r="I83" s="102" t="n"/>
      <c r="J83" s="102" t="n"/>
    </row>
    <row r="84" ht="56" customHeight="1" s="132">
      <c r="A84" s="29" t="n"/>
      <c r="B84" s="30" t="inlineStr">
        <is>
          <t>Game Break</t>
        </is>
      </c>
      <c r="C84" s="31" t="inlineStr">
        <is>
          <t>Traded Mid-Game</t>
        </is>
      </c>
      <c r="D84" s="6" t="inlineStr">
        <is>
          <t>Swap positions with random other player</t>
        </is>
      </c>
      <c r="E84" s="7" t="n"/>
      <c r="F84" s="76" t="n"/>
      <c r="G84" s="111" t="inlineStr">
        <is>
          <t>Applies to rest of game</t>
        </is>
      </c>
      <c r="H84" s="102" t="n"/>
      <c r="I84" s="102" t="n"/>
      <c r="J84" s="102" t="n"/>
    </row>
    <row r="85" ht="42" customHeight="1" s="132">
      <c r="A85" s="29" t="n"/>
      <c r="B85" s="30" t="inlineStr">
        <is>
          <t>Game Break</t>
        </is>
      </c>
      <c r="C85" s="134" t="inlineStr">
        <is>
          <t>Salary Cap Increase</t>
        </is>
      </c>
      <c r="D85" s="91" t="inlineStr">
        <is>
          <t>All players draw 2 cards</t>
        </is>
      </c>
      <c r="E85" s="7" t="n"/>
      <c r="F85" s="76" t="n">
        <v>4</v>
      </c>
      <c r="G85" s="111" t="n"/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All-Swissh Selection</t>
        </is>
      </c>
      <c r="D86" s="91" t="inlineStr">
        <is>
          <t>Draw 3 cards after your next make</t>
        </is>
      </c>
      <c r="E86" s="7" t="n"/>
      <c r="F86" s="76" t="n">
        <v>3</v>
      </c>
      <c r="G86" s="111" t="inlineStr">
        <is>
          <t>Arms an icon in the HUD tracking the pending draws</t>
        </is>
      </c>
      <c r="H86" s="102" t="n"/>
      <c r="I86" s="102" t="n"/>
      <c r="J86" s="102" t="n"/>
    </row>
    <row r="87" ht="28" customHeight="1" s="132">
      <c r="A87" s="29" t="n"/>
      <c r="B87" s="30" t="inlineStr">
        <is>
          <t>Game Break</t>
        </is>
      </c>
      <c r="C87" s="134" t="inlineStr">
        <is>
          <t>All Star Selection</t>
        </is>
      </c>
      <c r="D87" s="91" t="inlineStr">
        <is>
          <t>Draw 2 cards</t>
        </is>
      </c>
      <c r="E87" s="7" t="n"/>
      <c r="F87" s="76" t="n">
        <v>5</v>
      </c>
      <c r="G87" s="111" t="n"/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Hit the Bike</t>
        </is>
      </c>
      <c r="D88" s="91" t="inlineStr">
        <is>
          <t>Discard all Injuries. Draw 1 card. Give possession to another player</t>
        </is>
      </c>
      <c r="E88" s="7" t="n"/>
      <c r="F88" s="76" t="n">
        <v>5</v>
      </c>
      <c r="G88" s="111" t="inlineStr">
        <is>
          <t>This is not a pass</t>
        </is>
      </c>
      <c r="H88" s="102" t="n"/>
      <c r="I88" s="102" t="n"/>
      <c r="J88" s="102" t="n"/>
    </row>
    <row r="89" ht="56" customHeight="1" s="132">
      <c r="A89" s="29" t="n"/>
      <c r="B89" s="30" t="inlineStr">
        <is>
          <t>Game Break</t>
        </is>
      </c>
      <c r="C89" s="134" t="inlineStr">
        <is>
          <t>Ice Wrap</t>
        </is>
      </c>
      <c r="D89" s="91" t="inlineStr">
        <is>
          <t>Draw 1 card. Discard all Injuries. If none, draw 1 additional card</t>
        </is>
      </c>
      <c r="E89" s="7" t="n"/>
      <c r="F89" s="76" t="n">
        <v>5</v>
      </c>
      <c r="G89" s="111" t="n"/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Wet Spot</t>
        </is>
      </c>
      <c r="D90" s="91" t="inlineStr">
        <is>
          <t>All Injuries in the discards and deck are displayed. Take one</t>
        </is>
      </c>
      <c r="E90" s="7" t="n"/>
      <c r="F90" s="76" t="n">
        <v>2</v>
      </c>
      <c r="G90" s="111" t="inlineStr">
        <is>
          <t>Deck ones are shown face down</t>
        </is>
      </c>
      <c r="H90" s="102" t="n"/>
      <c r="I90" s="102" t="n"/>
      <c r="J90" s="102" t="n"/>
    </row>
    <row r="91" ht="28" customHeight="1" s="132">
      <c r="A91" s="29" t="n"/>
      <c r="B91" s="30" t="inlineStr">
        <is>
          <t>Game Break</t>
        </is>
      </c>
      <c r="C91" s="134" t="inlineStr">
        <is>
          <t>Fresh Ball</t>
        </is>
      </c>
      <c r="D91" s="91" t="inlineStr">
        <is>
          <t>Next player does not draw at the start of their possession</t>
        </is>
      </c>
      <c r="E91" s="7" t="n"/>
      <c r="F91" s="76" t="n">
        <v>3</v>
      </c>
      <c r="G91" s="111" t="inlineStr">
        <is>
          <t>This is a bad thing in the NBA</t>
        </is>
      </c>
      <c r="H91" s="102" t="n"/>
      <c r="I91" s="102" t="n"/>
      <c r="J91" s="102" t="n"/>
    </row>
    <row r="92" ht="42" customHeight="1" s="132">
      <c r="A92" s="29" t="n"/>
      <c r="B92" s="30" t="inlineStr">
        <is>
          <t>Game Break</t>
        </is>
      </c>
      <c r="C92" s="134" t="inlineStr">
        <is>
          <t>Trade Deadline</t>
        </is>
      </c>
      <c r="D92" s="91" t="inlineStr">
        <is>
          <t>Declare Left or Right: every player passes their hand that way. The ball goes with it</t>
        </is>
      </c>
      <c r="E92" s="7" t="n"/>
      <c r="F92" s="76" t="n">
        <v>3</v>
      </c>
      <c r="G92" s="111" t="inlineStr">
        <is>
          <t>The hex travels in the declared direction too</t>
        </is>
      </c>
      <c r="H92" s="102" t="n"/>
      <c r="I92" s="102" t="n"/>
      <c r="J92" s="102" t="n"/>
    </row>
    <row r="93" ht="28" customHeight="1" s="132">
      <c r="A93" s="29" t="n"/>
      <c r="B93" s="30" t="inlineStr">
        <is>
          <t>Game Break</t>
        </is>
      </c>
      <c r="C93" s="134" t="inlineStr">
        <is>
          <t>Floor Cleanup</t>
        </is>
      </c>
      <c r="D93" s="91" t="inlineStr">
        <is>
          <t>All players shuffle their hands into the deck and draw the same number of cards</t>
        </is>
      </c>
      <c r="E93" s="7" t="n"/>
      <c r="F93" s="76" t="n">
        <v>3</v>
      </c>
      <c r="G93" s="111" t="n"/>
      <c r="H93" s="102" t="n"/>
      <c r="I93" s="102" t="n"/>
      <c r="J93" s="102" t="n"/>
    </row>
    <row r="94" ht="42" customHeight="1" s="132">
      <c r="A94" s="29" t="n"/>
      <c r="B94" s="30" t="inlineStr">
        <is>
          <t>Game Break</t>
        </is>
      </c>
      <c r="C94" s="134" t="inlineStr">
        <is>
          <t>Official Timeout</t>
        </is>
      </c>
      <c r="D94" s="91" t="inlineStr">
        <is>
          <t>At least 1 referee must be armed: discard all Injuries on all players and clear all referees. If none, all players draw 1 card</t>
        </is>
      </c>
      <c r="E94" s="7" t="n"/>
      <c r="F94" s="76" t="n">
        <v>2</v>
      </c>
      <c r="G94" s="111" t="n"/>
      <c r="H94" s="102" t="n"/>
      <c r="I94" s="102" t="n"/>
      <c r="J94" s="102" t="n"/>
    </row>
    <row r="95" ht="14" customHeight="1" s="132">
      <c r="A95" s="29" t="n"/>
      <c r="B95" s="30" t="inlineStr">
        <is>
          <t>Game Break</t>
        </is>
      </c>
      <c r="C95" s="134" t="inlineStr">
        <is>
          <t>Team Doctor</t>
        </is>
      </c>
      <c r="D95" s="91" t="inlineStr">
        <is>
          <t>Discard 1 Injury from a player of choice. Draw 2 cards if not choosing yourself</t>
        </is>
      </c>
      <c r="E95" s="7" t="n"/>
      <c r="F95" s="76" t="n">
        <v>3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Altercation</t>
        </is>
      </c>
      <c r="D96" s="91" t="inlineStr">
        <is>
          <t>Select another player: you and that player each discard 1 card at random. Inbound the ball to a player other than that target</t>
        </is>
      </c>
      <c r="E96" s="7" t="n"/>
      <c r="F96" s="76" t="n">
        <v>2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Huge Altercation</t>
        </is>
      </c>
      <c r="D97" s="91" t="inlineStr">
        <is>
          <t>All players discard their hands. If a ref is armed, all players receive 1 TOV. Inbound the ball</t>
        </is>
      </c>
      <c r="E97" s="7" t="n"/>
      <c r="F97" s="76" t="n">
        <v>1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Home Court Advantage</t>
        </is>
      </c>
      <c r="D98" s="91" t="inlineStr">
        <is>
          <t>SHOT + 10%</t>
        </is>
      </c>
      <c r="E98" s="7" t="n"/>
      <c r="F98" s="76" t="n">
        <v>5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Away Game</t>
        </is>
      </c>
      <c r="D99" s="91" t="inlineStr">
        <is>
          <t>SHOT - 10%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Mic'd Up</t>
        </is>
      </c>
      <c r="D100" s="91" t="inlineStr">
        <is>
          <t>SHOT + 10% until passed or shot</t>
        </is>
      </c>
      <c r="E100" s="7" t="n"/>
      <c r="F100" s="76" t="n">
        <v>7</v>
      </c>
      <c r="G100" s="111" t="inlineStr">
        <is>
          <t>The boost is the holder's alone and does not travel with a pass</t>
        </is>
      </c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In The Zone</t>
        </is>
      </c>
      <c r="D101" s="91" t="inlineStr">
        <is>
          <t>Draw 1 card for each 10% SHOT the ball has, rounded down. Minimum 1</t>
        </is>
      </c>
      <c r="E101" s="7" t="n"/>
      <c r="F101" s="76" t="n">
        <v>4</v>
      </c>
      <c r="G101" s="111" t="n"/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Role Player</t>
        </is>
      </c>
      <c r="D102" s="91" t="inlineStr">
        <is>
          <t>All other players draw 1 card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Back-and-Forth Game</t>
        </is>
      </c>
      <c r="D103" s="91" t="inlineStr">
        <is>
          <t>Discard the next 3 Game Breaks. Whoever draws one draws again</t>
        </is>
      </c>
      <c r="E103" s="7" t="n"/>
      <c r="F103" s="76" t="n">
        <v>3</v>
      </c>
      <c r="G103" s="111" t="n"/>
      <c r="H103" s="102" t="n"/>
      <c r="I103" s="102" t="n"/>
      <c r="J103" s="102" t="n"/>
    </row>
    <row r="104" ht="28" customHeight="1" s="132">
      <c r="A104" s="55" t="inlineStr">
        <is>
          <t>Injury GB</t>
        </is>
      </c>
      <c r="B104" s="56">
        <f>COUNTIF($B$5:$B$135,"Injury GB")</f>
        <v/>
      </c>
      <c r="C104" s="57" t="n"/>
      <c r="D104" s="57" t="n"/>
      <c r="E104" s="57" t="n"/>
      <c r="F104" s="88" t="n"/>
      <c r="G104" s="108" t="n"/>
      <c r="H104" s="102" t="n"/>
      <c r="I104" s="102" t="n"/>
      <c r="J104" s="102" t="n"/>
    </row>
    <row r="105" ht="28" customHeight="1" s="132">
      <c r="A105" s="29" t="n"/>
      <c r="B105" s="30" t="inlineStr">
        <is>
          <t>Injury GB</t>
        </is>
      </c>
      <c r="C105" s="31" t="inlineStr">
        <is>
          <t>Bone Bruise</t>
        </is>
      </c>
      <c r="D105" s="91" t="inlineStr">
        <is>
          <t>Discard 1 card at the start of each turn after drawing (your choice)</t>
        </is>
      </c>
      <c r="E105" s="7" t="n"/>
      <c r="F105" s="76" t="n">
        <v>3</v>
      </c>
      <c r="G105" s="101" t="n"/>
      <c r="H105" s="102" t="n"/>
      <c r="I105" s="102" t="n"/>
      <c r="J105" s="102" t="n"/>
    </row>
    <row r="106" ht="28" customHeight="1" s="132">
      <c r="A106" s="58" t="inlineStr">
        <is>
          <t>Devastating Injury GB</t>
        </is>
      </c>
      <c r="B106" s="59">
        <f>COUNTIF($B$5:$B$135,"Devastating Injury GB")</f>
        <v/>
      </c>
      <c r="C106" s="60" t="n"/>
      <c r="D106" s="60" t="n"/>
      <c r="E106" s="60" t="n"/>
      <c r="F106" s="86" t="n"/>
      <c r="G106" s="109" t="n"/>
      <c r="H106" s="110" t="n"/>
      <c r="I106" s="110" t="n"/>
      <c r="J106" s="110" t="n"/>
    </row>
    <row r="107" ht="28" customHeight="1" s="132">
      <c r="A107" s="50" t="n"/>
      <c r="B107" s="51" t="inlineStr">
        <is>
          <t>Devastating Injury GB</t>
        </is>
      </c>
      <c r="C107" s="136" t="inlineStr">
        <is>
          <t>Torn Achilles</t>
        </is>
      </c>
      <c r="D107" s="137" t="inlineStr">
        <is>
          <t>Hand is locked every turn except 1 card (randomly)</t>
        </is>
      </c>
      <c r="E107" s="54" t="n"/>
      <c r="F107" s="141" t="n"/>
      <c r="G107" s="114" t="n"/>
      <c r="H107" s="115" t="n"/>
      <c r="I107" s="115" t="n"/>
      <c r="J107" s="115" t="n"/>
    </row>
    <row r="108" ht="42" customHeight="1" s="132">
      <c r="A108" s="55" t="inlineStr">
        <is>
          <t>Intangible</t>
        </is>
      </c>
      <c r="B108" s="56">
        <f>COUNTIF($B$5:$B$135,"Intangible")</f>
        <v/>
      </c>
      <c r="C108" s="57" t="n"/>
      <c r="D108" s="57" t="n"/>
      <c r="E108" s="57" t="n"/>
      <c r="F108" s="88" t="n"/>
      <c r="G108" s="108" t="n"/>
      <c r="H108" s="102" t="n"/>
      <c r="I108" s="102" t="n"/>
      <c r="J108" s="102" t="n"/>
    </row>
    <row r="109" ht="56" customHeight="1" s="132">
      <c r="A109" s="96" t="inlineStr">
        <is>
          <t>All intangibles are limited to 1</t>
        </is>
      </c>
      <c r="B109" s="30" t="inlineStr">
        <is>
          <t>Intangible</t>
        </is>
      </c>
      <c r="C109" s="31" t="inlineStr">
        <is>
          <t>Board-Crasher</t>
        </is>
      </c>
      <c r="D109" s="6" t="inlineStr">
        <is>
          <t>SHOT +10% upon Rebounding your own missed shot</t>
        </is>
      </c>
      <c r="E109" s="7" t="n"/>
      <c r="F109" s="138" t="n"/>
      <c r="G109" s="101" t="n"/>
      <c r="H109" s="102" t="n"/>
      <c r="I109" s="102" t="n"/>
      <c r="J109" s="102" t="n"/>
    </row>
    <row r="110" ht="57" customHeight="1" s="132">
      <c r="A110" s="29" t="n"/>
      <c r="B110" s="30" t="inlineStr">
        <is>
          <t>Intangible</t>
        </is>
      </c>
      <c r="C110" s="32" t="inlineStr">
        <is>
          <t>Catch &amp; Shoot Specialist</t>
        </is>
      </c>
      <c r="D110" s="33" t="inlineStr">
        <is>
          <t>Additional SHOT +10% on all received passes</t>
        </is>
      </c>
      <c r="E110" s="34" t="n"/>
      <c r="F110" s="138" t="n"/>
      <c r="G110" s="107" t="n"/>
      <c r="H110" s="102" t="n"/>
      <c r="I110" s="102" t="n"/>
      <c r="J110" s="102" t="n"/>
    </row>
    <row r="111" ht="20" customHeight="1" s="132">
      <c r="A111" s="29" t="n"/>
      <c r="B111" s="30" t="inlineStr">
        <is>
          <t>Intangible</t>
        </is>
      </c>
      <c r="C111" s="31" t="inlineStr">
        <is>
          <t>Clutch Gene</t>
        </is>
      </c>
      <c r="D111" s="6" t="inlineStr">
        <is>
          <t>SHOT x2 if attempting a shot with 1 or fewer cards in hand or Shot Clock 3 or less</t>
        </is>
      </c>
      <c r="E111" s="7" t="n"/>
      <c r="F111" s="138" t="n"/>
      <c r="G111" s="101" t="n"/>
      <c r="H111" s="102" t="n"/>
      <c r="I111" s="102" t="n"/>
      <c r="J111" s="102" t="n"/>
    </row>
    <row r="112" ht="28" customHeight="1" s="132">
      <c r="A112" s="29" t="n"/>
      <c r="B112" s="30" t="inlineStr">
        <is>
          <t>Intangible</t>
        </is>
      </c>
      <c r="C112" s="32" t="inlineStr">
        <is>
          <t>Floor General</t>
        </is>
      </c>
      <c r="D112" s="33" t="inlineStr">
        <is>
          <t>You choose all targets of all kinds — card declarations, non auto-pass targets, and the rest</t>
        </is>
      </c>
      <c r="E112" s="34" t="n"/>
      <c r="F112" s="138" t="n"/>
      <c r="G112" s="107" t="n"/>
      <c r="H112" s="102" t="n"/>
      <c r="I112" s="102" t="n"/>
      <c r="J112" s="102" t="n"/>
    </row>
    <row r="113">
      <c r="A113" s="29" t="n"/>
      <c r="B113" s="30" t="inlineStr">
        <is>
          <t>Intangible</t>
        </is>
      </c>
      <c r="C113" s="31" t="inlineStr">
        <is>
          <t>Fox-Like First Step</t>
        </is>
      </c>
      <c r="D113" s="6" t="inlineStr">
        <is>
          <t>All Move cards that reduce SHOT increase it by that amount instead.</t>
        </is>
      </c>
      <c r="E113" s="6" t="inlineStr">
        <is>
          <t>Your Move cards are unaffected by opponents</t>
        </is>
      </c>
      <c r="F113" s="139" t="n"/>
      <c r="G113" s="101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90" t="inlineStr">
        <is>
          <t>Freethrow Merchant</t>
        </is>
      </c>
      <c r="D114" s="94" t="inlineStr">
        <is>
          <t>All Clamps on you grant 1 FT instead</t>
        </is>
      </c>
      <c r="E114" s="34" t="n"/>
      <c r="F114" s="138" t="n"/>
      <c r="G114" s="125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Generational Whistle</t>
        </is>
      </c>
      <c r="D115" s="91" t="inlineStr">
        <is>
          <t>Take 1 additional FT</t>
        </is>
      </c>
      <c r="E115" s="7" t="n"/>
      <c r="F115" s="138" t="n"/>
      <c r="G115" s="101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32" t="inlineStr">
        <is>
          <t>Gravity</t>
        </is>
      </c>
      <c r="D116" s="33" t="inlineStr">
        <is>
          <t>All Clamps automatically apply to you. +1 AST whenever another player attempts a shot</t>
        </is>
      </c>
      <c r="E116" s="34" t="n"/>
      <c r="F116" s="138" t="n"/>
      <c r="G116" s="107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1" t="inlineStr">
        <is>
          <t>Great Conditioning</t>
        </is>
      </c>
      <c r="D117" s="6" t="inlineStr">
        <is>
          <t>Immediately discard all Injury Game Breaks you draw and draw a new card for each</t>
        </is>
      </c>
      <c r="E117" s="7" t="n"/>
      <c r="F117" s="138" t="n"/>
      <c r="G117" s="101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2" t="inlineStr">
        <is>
          <t>Hot Hand</t>
        </is>
      </c>
      <c r="D118" s="33" t="inlineStr">
        <is>
          <t>SHOT +20% if you scored last round.</t>
        </is>
      </c>
      <c r="E118" s="34" t="n"/>
      <c r="F118" s="138" t="n"/>
      <c r="G118" s="107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1" t="inlineStr">
        <is>
          <t>Like That</t>
        </is>
      </c>
      <c r="D119" s="91" t="inlineStr">
        <is>
          <t>Your SHOT % cannot be reduced</t>
        </is>
      </c>
      <c r="E119" s="7" t="n"/>
      <c r="F119" s="138" t="n"/>
      <c r="G119" s="101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2" t="inlineStr">
        <is>
          <t>No Bag</t>
        </is>
      </c>
      <c r="D120" s="33" t="inlineStr">
        <is>
          <t>Cannot activate Move cards this round</t>
        </is>
      </c>
      <c r="E120" s="34" t="n"/>
      <c r="F120" s="138" t="n"/>
      <c r="G120" s="113" t="inlineStr">
        <is>
          <t>Bad card to draw</t>
        </is>
      </c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1" t="inlineStr">
        <is>
          <t>Point God</t>
        </is>
      </c>
      <c r="D121" s="6" t="inlineStr">
        <is>
          <t>Draw 1 card following each of your passes</t>
        </is>
      </c>
      <c r="E121" s="7" t="n"/>
      <c r="F121" s="138" t="n"/>
      <c r="G121" s="101" t="n"/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2" t="inlineStr">
        <is>
          <t>Shooting Slump</t>
        </is>
      </c>
      <c r="D122" s="33" t="inlineStr">
        <is>
          <t>SHOT -20% this round</t>
        </is>
      </c>
      <c r="E122" s="34" t="n"/>
      <c r="F122" s="138" t="n"/>
      <c r="G122" s="113" t="inlineStr">
        <is>
          <t>Bad card to draw</t>
        </is>
      </c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1" t="inlineStr">
        <is>
          <t>Shot Creator</t>
        </is>
      </c>
      <c r="D123" s="6" t="inlineStr">
        <is>
          <t>Draw 1 additional card after every draw effect</t>
        </is>
      </c>
      <c r="E123" s="7" t="n"/>
      <c r="F123" s="138" t="n"/>
      <c r="G123" s="101" t="n"/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2" t="inlineStr">
        <is>
          <t>Sixth Man</t>
        </is>
      </c>
      <c r="D124" s="33" t="inlineStr">
        <is>
          <t>SHOT = 100% if taking 6th shot of the round</t>
        </is>
      </c>
      <c r="E124" s="34" t="n"/>
      <c r="F124" s="138" t="n"/>
      <c r="G124" s="107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1" t="inlineStr">
        <is>
          <t>Sniper</t>
        </is>
      </c>
      <c r="D125" s="6" t="inlineStr">
        <is>
          <t>SHOT +10% on all Three-Point Line Shots</t>
        </is>
      </c>
      <c r="E125" s="7" t="n"/>
      <c r="F125" s="138" t="n"/>
      <c r="G125" s="101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2" t="inlineStr">
        <is>
          <t>Splash Cousin</t>
        </is>
      </c>
      <c r="D126" s="33" t="inlineStr">
        <is>
          <t>All Three-Point Line Shots: SHOT = 100%</t>
        </is>
      </c>
      <c r="E126" s="34" t="n"/>
      <c r="F126" s="138" t="n"/>
      <c r="G126" s="107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1" t="inlineStr">
        <is>
          <t>Unguardable</t>
        </is>
      </c>
      <c r="D127" s="91" t="inlineStr">
        <is>
          <t>All Clamps on you have no effect on SHOT %</t>
        </is>
      </c>
      <c r="E127" s="7" t="n"/>
      <c r="F127" s="138" t="n"/>
      <c r="G127" s="101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2" t="inlineStr">
        <is>
          <t>Lethal Shooter</t>
        </is>
      </c>
      <c r="D128" s="33" t="inlineStr">
        <is>
          <t>SHOT = 100% on next shot attempt after rebounding your own miss.</t>
        </is>
      </c>
      <c r="E128" s="34" t="n"/>
      <c r="F128" s="138" t="n"/>
      <c r="G128" s="113" t="inlineStr">
        <is>
          <t>Special text: “I understand it now”</t>
        </is>
      </c>
      <c r="H128" s="102" t="n"/>
      <c r="I128" s="102" t="n"/>
      <c r="J128" s="102" t="n"/>
    </row>
    <row r="129">
      <c r="A129" s="61" t="n"/>
      <c r="B129" s="62" t="inlineStr">
        <is>
          <t>Intangible</t>
        </is>
      </c>
      <c r="C129" s="66" t="inlineStr">
        <is>
          <t>Ball Pounder</t>
        </is>
      </c>
      <c r="D129" s="95" t="inlineStr">
        <is>
          <t>All Dribble cards you play draw an additional card but lower SHOT by an additional 10%</t>
        </is>
      </c>
      <c r="E129" s="68" t="n"/>
      <c r="F129" s="140" t="n"/>
      <c r="G129" s="126" t="n"/>
      <c r="H129" s="117" t="n"/>
      <c r="I129" s="117" t="n"/>
      <c r="J129" s="117" t="n"/>
    </row>
    <row r="130">
      <c r="A130" s="61" t="n"/>
      <c r="B130" s="62" t="inlineStr">
        <is>
          <t>Intangible</t>
        </is>
      </c>
      <c r="C130" s="66" t="inlineStr">
        <is>
          <t>Unselfish</t>
        </is>
      </c>
      <c r="D130" s="95" t="inlineStr">
        <is>
          <t>Draw 1 card and increase next SHOT +5% whenever you positively affect another player</t>
        </is>
      </c>
      <c r="E130" s="68" t="n"/>
      <c r="F130" s="140" t="n"/>
      <c r="G130" s="126" t="n"/>
      <c r="H130" s="117" t="n"/>
      <c r="I130" s="117" t="n"/>
      <c r="J130" s="117" t="n"/>
    </row>
    <row r="131">
      <c r="A131" s="61" t="n"/>
      <c r="B131" s="62" t="inlineStr">
        <is>
          <t>Intangible</t>
        </is>
      </c>
      <c r="C131" s="66" t="inlineStr">
        <is>
          <t>Dirty Player</t>
        </is>
      </c>
      <c r="D131" s="95" t="inlineStr">
        <is>
          <t>When sending Clamps, the clamped player discards 1 if they have any Injuries</t>
        </is>
      </c>
      <c r="E131" s="68" t="n"/>
      <c r="F131" s="140" t="n"/>
      <c r="G131" s="126" t="n"/>
      <c r="H131" s="117" t="n"/>
      <c r="I131" s="117" t="n"/>
      <c r="J131" s="117" t="n"/>
    </row>
    <row r="132">
      <c r="A132" s="61" t="n"/>
      <c r="B132" s="62" t="inlineStr">
        <is>
          <t>Intangible</t>
        </is>
      </c>
      <c r="C132" s="66" t="inlineStr">
        <is>
          <t>Villainous Reputation</t>
        </is>
      </c>
      <c r="D132" s="95" t="inlineStr">
        <is>
          <t>Discard 1 whenever any Whistle triggers</t>
        </is>
      </c>
      <c r="E132" s="68" t="n"/>
      <c r="F132" s="140" t="n"/>
      <c r="G132" s="126" t="inlineStr">
        <is>
          <t>Discarded during play, it attaches to a random player — possibly you again</t>
        </is>
      </c>
    </row>
    <row r="133">
      <c r="A133" s="61" t="n"/>
      <c r="B133" s="62" t="inlineStr">
        <is>
          <t>Intangible</t>
        </is>
      </c>
      <c r="C133" s="66" t="inlineStr">
        <is>
          <t>Free Agent</t>
        </is>
      </c>
      <c r="D133" s="95" t="inlineStr">
        <is>
          <t>Discard your hand. Play a card at random from a player of your choosing (they keep it)</t>
        </is>
      </c>
      <c r="E133" s="68" t="n"/>
      <c r="F133" s="140" t="n"/>
      <c r="G133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34">
      <c r="A134" s="61" t="n"/>
      <c r="B134" s="62" t="inlineStr">
        <is>
          <t>Intangible</t>
        </is>
      </c>
      <c r="C134" s="66" t="inlineStr">
        <is>
          <t>Franchise Player</t>
        </is>
      </c>
      <c r="D134" s="95" t="inlineStr">
        <is>
          <t>When passing, choose 1 of the new player's Intangibles or a card in their hand for them to discard</t>
        </is>
      </c>
      <c r="E134" s="68" t="n"/>
      <c r="F134" s="140" t="n"/>
      <c r="G134" s="126" t="n"/>
      <c r="H134" s="117" t="n"/>
      <c r="I134" s="117" t="n"/>
      <c r="J134" s="117" t="n"/>
    </row>
    <row r="135">
      <c r="A135" s="61" t="n"/>
      <c r="B135" s="62" t="inlineStr">
        <is>
          <t>Intangible</t>
        </is>
      </c>
      <c r="C135" s="66" t="inlineStr">
        <is>
          <t>Fundamentalist</t>
        </is>
      </c>
      <c r="D135" s="95" t="inlineStr">
        <is>
          <t>No Special Moves. Each Move once a turn. Swings, Skip Pass and Dribble are never spent</t>
        </is>
      </c>
      <c r="E135" s="68" t="n"/>
      <c r="F135" s="140" t="n"/>
      <c r="G135" s="126" t="n"/>
      <c r="H135" s="117" t="n"/>
      <c r="I135" s="117" t="n"/>
      <c r="J135" s="117" t="n"/>
    </row>
  </sheetData>
  <mergeCells count="122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113:J113"/>
    <mergeCell ref="G20:J20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0:J90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134:J134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2026-09-05T16:02:22Z</dcterms:modified>
  <cp:lastModifiedBy>Montre Smith</cp:lastModifiedBy>
</cp:coreProperties>
</file>