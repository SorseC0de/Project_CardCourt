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9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COUNTIF($B$5:$B$144,"Pass")</f>
        <v/>
      </c>
      <c r="C2" s="13">
        <f>COUNTIF($B$5:$B$144,"Move")+COUNTIF($B$5:$B$144,"Special Move")</f>
        <v/>
      </c>
      <c r="D2" s="14">
        <f>COUNTIF($B$5:$B$144,"Clamp")</f>
        <v/>
      </c>
      <c r="E2" s="15">
        <f>COUNTIF($B$5:$B$144,"Whistle")</f>
        <v/>
      </c>
      <c r="F2" s="16">
        <f>COUNTIF($B$5:$B$144,"Game Break")</f>
        <v/>
      </c>
      <c r="G2" s="18">
        <f>COUNTIF($B$5:$B$144,"Injury")</f>
        <v/>
      </c>
      <c r="H2" s="19">
        <f>COUNTIF($B$5:$B$144,"Devastating Injury")</f>
        <v/>
      </c>
      <c r="I2" s="17">
        <f>COUNTIF($B$5:$B$144,"Intangible")</f>
        <v/>
      </c>
      <c r="J2" s="87">
        <f>SUM(B2:E2)+COUNTIF($B$5:$B$144,"Game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COUNTIF($B$6:$B$147,"Pass")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5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5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5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5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Draw 2 Cards. Move all your Clamps to Receiver, and they immediately attempt a three</t>
        </is>
      </c>
      <c r="E18" s="25" t="n"/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COUNTIF($B$22:$B$147,"Move")+COUNTIF($B$22:$B$147,"Special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15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5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+20% for each</t>
        </is>
      </c>
      <c r="E30" s="26" t="n"/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10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COUNTIF($B$36:$B$147,"Special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5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</t>
        </is>
      </c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5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+20%. SHOT = 100% if SHOT &gt;= 75%</t>
        </is>
      </c>
      <c r="E45" s="6" t="inlineStr">
        <is>
          <t>Shoot the ball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Selected players receive +1 AST on a make</t>
        </is>
      </c>
      <c r="F48" s="59" t="n">
        <v>5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t="inlineStr">
        <is>
          <t>Shoot the ball</t>
        </is>
      </c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COUNTIF($B$54:$B$147,"Clamp")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[NOT IN THE GAME YET]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[NOT IN THE GAME YET]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COUNTIF($B$63:$B$147,"Whistle")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Play-On</t>
        </is>
      </c>
      <c r="D80" s="25" t="inlineStr">
        <is>
          <t>Discard each Game Break drawn and draw again, until a card is not one</t>
        </is>
      </c>
      <c r="E80" s="26" t="n"/>
      <c r="F80" s="50" t="n"/>
      <c r="G80" s="72" t="inlineStr">
        <is>
          <t>Raised where the Break lands, like Cleared to Play — nobody plays a Break</t>
        </is>
      </c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52" t="inlineStr">
        <is>
          <t>Retired Game Breaks</t>
        </is>
      </c>
      <c r="B83" s="53">
        <f>COUNTIF($B$84:$B$113,"Retired Game Break")</f>
        <v/>
      </c>
      <c r="C83" s="54" t="n"/>
      <c r="D83" s="54" t="n"/>
      <c r="E83" s="54" t="n"/>
      <c r="F83" s="55" t="n"/>
      <c r="G83" s="66" t="n"/>
      <c r="H83" s="67" t="n"/>
      <c r="I83" s="67" t="n"/>
      <c r="J83" s="67" t="n"/>
    </row>
    <row r="84" ht="20" customHeight="1" s="85">
      <c r="A84" s="21" t="n"/>
      <c r="B84" s="22" t="inlineStr">
        <is>
          <t>Retired Game Break</t>
        </is>
      </c>
      <c r="C84" s="24" t="inlineStr">
        <is>
          <t>2-Minute Warning</t>
        </is>
      </c>
      <c r="D84" s="25" t="inlineStr">
        <is>
          <t>All players discard down to 2 or fewer cards</t>
        </is>
      </c>
      <c r="E84" s="26" t="n"/>
      <c r="F84" s="33" t="n">
        <v>0</v>
      </c>
      <c r="G84" s="72" t="n"/>
      <c r="H84" s="71" t="n"/>
      <c r="I84" s="71" t="n"/>
      <c r="J84" s="71" t="n"/>
    </row>
    <row r="85" ht="28" customHeight="1" s="85">
      <c r="A85" s="21" t="n"/>
      <c r="B85" s="22" t="inlineStr">
        <is>
          <t>Retired Game Break</t>
        </is>
      </c>
      <c r="C85" s="23" t="inlineStr">
        <is>
          <t>Benched</t>
        </is>
      </c>
      <c r="D85" s="6" t="inlineStr">
        <is>
          <t>Immediately give ball to any other player.</t>
        </is>
      </c>
      <c r="E85" s="7" t="n"/>
      <c r="F85" s="34" t="n">
        <v>0</v>
      </c>
      <c r="G85" s="74" t="inlineStr">
        <is>
          <t>This is not a pass</t>
        </is>
      </c>
      <c r="H85" s="71" t="n"/>
      <c r="I85" s="71" t="n"/>
      <c r="J85" s="71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Crowd Noise</t>
        </is>
      </c>
      <c r="D86" s="25" t="inlineStr">
        <is>
          <t>Discard 1 card.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Retired Game Break</t>
        </is>
      </c>
      <c r="C87" s="23" t="inlineStr">
        <is>
          <t>Designed Play</t>
        </is>
      </c>
      <c r="D87" s="6" t="inlineStr">
        <is>
          <t>Draw up to a hand of 5</t>
        </is>
      </c>
      <c r="E87" s="7" t="n"/>
      <c r="F87" s="34" t="n">
        <v>0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Retired Game Break</t>
        </is>
      </c>
      <c r="C88" s="37" t="inlineStr">
        <is>
          <t>Foul</t>
        </is>
      </c>
      <c r="D88" s="25" t="inlineStr">
        <is>
          <t>Take 1 FT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56" customHeight="1" s="85">
      <c r="A89" s="21" t="n"/>
      <c r="B89" s="22" t="inlineStr">
        <is>
          <t>Retired Game Break</t>
        </is>
      </c>
      <c r="C89" s="23" t="inlineStr">
        <is>
          <t>MVP Vote</t>
        </is>
      </c>
      <c r="D89" s="6" t="inlineStr">
        <is>
          <t>Draw 3 cards up to a hand of 7</t>
        </is>
      </c>
      <c r="E89" s="7" t="n"/>
      <c r="F89" s="34" t="n">
        <v>0</v>
      </c>
      <c r="G89" s="70" t="n"/>
      <c r="H89" s="71" t="n"/>
      <c r="I89" s="71" t="n"/>
      <c r="J89" s="71" t="n"/>
    </row>
    <row r="90" ht="42" customHeight="1" s="85">
      <c r="A90" s="21" t="n"/>
      <c r="B90" s="22" t="inlineStr">
        <is>
          <t>Retired Game Break</t>
        </is>
      </c>
      <c r="C90" s="24" t="inlineStr">
        <is>
          <t>Off Night</t>
        </is>
      </c>
      <c r="D90" s="25" t="inlineStr">
        <is>
          <t>SHOT -20% this possession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42" customHeight="1" s="85">
      <c r="A91" s="21" t="n"/>
      <c r="B91" s="22" t="inlineStr">
        <is>
          <t>Retired Game Break</t>
        </is>
      </c>
      <c r="C91" s="23" t="inlineStr">
        <is>
          <t>Swallowed Whistle</t>
        </is>
      </c>
      <c r="D91" s="6" t="inlineStr">
        <is>
          <t>Whistle cards cannot activate this turn.</t>
        </is>
      </c>
      <c r="E91" s="6" t="inlineStr">
        <is>
          <t>Remains for remainder of round</t>
        </is>
      </c>
      <c r="F91" s="32" t="n">
        <v>0</v>
      </c>
      <c r="G91" s="70" t="n"/>
      <c r="H91" s="71" t="n"/>
      <c r="I91" s="71" t="n"/>
      <c r="J91" s="71" t="n"/>
    </row>
    <row r="92" ht="28" customHeight="1" s="85">
      <c r="A92" s="21" t="n"/>
      <c r="B92" s="22" t="inlineStr">
        <is>
          <t>Retired Game Break</t>
        </is>
      </c>
      <c r="C92" s="24" t="inlineStr">
        <is>
          <t>Rock Fight</t>
        </is>
      </c>
      <c r="D92" s="25" t="inlineStr">
        <is>
          <t>Players cannot shoot when SHOT is above 50%</t>
        </is>
      </c>
      <c r="E92" s="25" t="inlineStr">
        <is>
          <t>Remains for remainder of round</t>
        </is>
      </c>
      <c r="F92" s="36" t="n">
        <v>0</v>
      </c>
      <c r="G92" s="72" t="n"/>
      <c r="H92" s="71" t="n"/>
      <c r="I92" s="71" t="n"/>
      <c r="J92" s="71" t="n"/>
    </row>
    <row r="93" ht="28" customHeight="1" s="85">
      <c r="A93" s="21" t="n"/>
      <c r="B93" s="22" t="inlineStr">
        <is>
          <t>Retired Game Break</t>
        </is>
      </c>
      <c r="C93" s="23" t="inlineStr">
        <is>
          <t>Traded Mid-Game</t>
        </is>
      </c>
      <c r="D93" s="6" t="inlineStr">
        <is>
          <t>Swap hands with a random other player</t>
        </is>
      </c>
      <c r="E93" s="7" t="n"/>
      <c r="F93" s="34" t="n">
        <v>0</v>
      </c>
      <c r="G93" s="74" t="n"/>
      <c r="H93" s="71" t="n"/>
      <c r="I93" s="71" t="n"/>
      <c r="J93" s="71" t="n"/>
    </row>
    <row r="94" ht="56" customHeight="1" s="85">
      <c r="A94" s="21" t="n"/>
      <c r="B94" s="22" t="inlineStr">
        <is>
          <t>Retired Game Break</t>
        </is>
      </c>
      <c r="C94" s="49" t="inlineStr">
        <is>
          <t>Salary Cap Increase</t>
        </is>
      </c>
      <c r="D94" s="38" t="inlineStr">
        <is>
          <t>All players draw 2 cards</t>
        </is>
      </c>
      <c r="E94" s="7" t="n"/>
      <c r="F94" s="34" t="n">
        <v>0</v>
      </c>
      <c r="G94" s="74" t="n"/>
      <c r="H94" s="71" t="n"/>
      <c r="I94" s="71" t="n"/>
      <c r="J94" s="71" t="n"/>
    </row>
    <row r="95" ht="56" customHeight="1" s="85">
      <c r="A95" s="21" t="n"/>
      <c r="B95" s="22" t="inlineStr">
        <is>
          <t>Retired Game Break</t>
        </is>
      </c>
      <c r="C95" s="49" t="inlineStr">
        <is>
          <t>All-Swissh Selection</t>
        </is>
      </c>
      <c r="D95" s="38" t="inlineStr">
        <is>
          <t>Draw 3 cards after your next make</t>
        </is>
      </c>
      <c r="E95" s="7" t="n"/>
      <c r="F95" s="34" t="n">
        <v>0</v>
      </c>
      <c r="G95" s="74" t="inlineStr">
        <is>
          <t>Arms an icon in the HUD tracking the pending draws</t>
        </is>
      </c>
      <c r="H95" s="71" t="n"/>
      <c r="I95" s="71" t="n"/>
      <c r="J95" s="71" t="n"/>
    </row>
    <row r="96" ht="28" customHeight="1" s="85">
      <c r="A96" s="21" t="n"/>
      <c r="B96" s="22" t="inlineStr">
        <is>
          <t>Retired Game Break</t>
        </is>
      </c>
      <c r="C96" s="49" t="inlineStr">
        <is>
          <t>All Star Selection</t>
        </is>
      </c>
      <c r="D96" s="38" t="inlineStr">
        <is>
          <t>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42" customHeight="1" s="85">
      <c r="A97" s="21" t="n"/>
      <c r="B97" s="22" t="inlineStr">
        <is>
          <t>Retired Game Break</t>
        </is>
      </c>
      <c r="C97" s="49" t="inlineStr">
        <is>
          <t>Hit the Bike</t>
        </is>
      </c>
      <c r="D97" s="38" t="inlineStr">
        <is>
          <t>Discard all Injuries. Draw 1 card. Give possession to another player</t>
        </is>
      </c>
      <c r="E97" s="7" t="n"/>
      <c r="F97" s="34" t="n">
        <v>0</v>
      </c>
      <c r="G97" s="74" t="inlineStr">
        <is>
          <t>This is not a pass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Ice Wrap</t>
        </is>
      </c>
      <c r="D98" s="38" t="inlineStr">
        <is>
          <t>Draw 1 card. Discard all Injuries. If none, draw 1 additional card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Wet Spot</t>
        </is>
      </c>
      <c r="D99" s="38" t="inlineStr">
        <is>
          <t>All Injuries in the discards and deck are displayed. Take one</t>
        </is>
      </c>
      <c r="E99" s="7" t="n"/>
      <c r="F99" s="34" t="n">
        <v>0</v>
      </c>
      <c r="G99" s="74" t="inlineStr">
        <is>
          <t>Deck ones are shown face down</t>
        </is>
      </c>
      <c r="H99" s="71" t="n"/>
      <c r="I99" s="71" t="n"/>
      <c r="J99" s="71" t="n"/>
    </row>
    <row r="100" ht="14" customHeight="1" s="85">
      <c r="A100" s="21" t="n"/>
      <c r="B100" s="22" t="inlineStr">
        <is>
          <t>Retired Game Break</t>
        </is>
      </c>
      <c r="C100" s="49" t="inlineStr">
        <is>
          <t>Fresh Ball</t>
        </is>
      </c>
      <c r="D100" s="38" t="inlineStr">
        <is>
          <t>Next player does not draw at the start of their possession</t>
        </is>
      </c>
      <c r="E100" s="7" t="n"/>
      <c r="F100" s="34" t="n">
        <v>0</v>
      </c>
      <c r="G100" s="74" t="inlineStr">
        <is>
          <t>This is a bad thing in the NBA</t>
        </is>
      </c>
      <c r="H100" s="71" t="n"/>
      <c r="I100" s="71" t="n"/>
      <c r="J100" s="71" t="n"/>
    </row>
    <row r="101" ht="14" customHeight="1" s="85">
      <c r="A101" s="21" t="n"/>
      <c r="B101" s="22" t="inlineStr">
        <is>
          <t>Retired Game Break</t>
        </is>
      </c>
      <c r="C101" s="49" t="inlineStr">
        <is>
          <t>Trade Deadline</t>
        </is>
      </c>
      <c r="D101" s="38" t="inlineStr">
        <is>
          <t>Declare Left or Right: every player passes their hand that way. The ball goes with it</t>
        </is>
      </c>
      <c r="E101" s="7" t="n"/>
      <c r="F101" s="34" t="n">
        <v>0</v>
      </c>
      <c r="G101" s="74" t="inlineStr">
        <is>
          <t>The hex travels in the declared direction too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Floor Cleanup</t>
        </is>
      </c>
      <c r="D102" s="38" t="inlineStr">
        <is>
          <t>All players shuffle their hands into the deck and draw the same number of cards</t>
        </is>
      </c>
      <c r="E102" s="7" t="n"/>
      <c r="F102" s="34" t="n">
        <v>0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Official Timeout</t>
        </is>
      </c>
      <c r="D103" s="38" t="inlineStr">
        <is>
          <t>At least 1 referee must be armed: discard all Injuries on all players and clear all referees. If none, all players draw 1 card</t>
        </is>
      </c>
      <c r="E103" s="7" t="n"/>
      <c r="F103" s="34" t="n">
        <v>0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Team Doctor</t>
        </is>
      </c>
      <c r="D104" s="38" t="inlineStr">
        <is>
          <t>Discard 1 Injury from a player of choice. Draw 2 cards if not choosing yourself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Altercation</t>
        </is>
      </c>
      <c r="D105" s="38" t="inlineStr">
        <is>
          <t>Select another player: you and that player each discard 1 card at random. Inbound the ball to a player other than that target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Huge Altercation</t>
        </is>
      </c>
      <c r="D106" s="38" t="inlineStr">
        <is>
          <t>All players discard their hands. If a ref is armed, all players receive 1 TOV. Inbound the ball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Home Court Advantage</t>
        </is>
      </c>
      <c r="D107" s="38" t="inlineStr">
        <is>
          <t>SHOT + 25%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Away Game</t>
        </is>
      </c>
      <c r="D108" s="38" t="inlineStr">
        <is>
          <t>SHOT - 10%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28" customHeight="1" s="85">
      <c r="A109" s="21" t="n"/>
      <c r="B109" s="22" t="inlineStr">
        <is>
          <t>Retired Game Break</t>
        </is>
      </c>
      <c r="C109" s="49" t="inlineStr">
        <is>
          <t>Mic'd Up</t>
        </is>
      </c>
      <c r="D109" s="38" t="inlineStr">
        <is>
          <t>SHOT + 10% until passed or shot</t>
        </is>
      </c>
      <c r="E109" s="7" t="n"/>
      <c r="F109" s="34" t="n">
        <v>0</v>
      </c>
      <c r="G109" s="74" t="inlineStr">
        <is>
          <t>The boost is the holder's alone and does not travel with a pass</t>
        </is>
      </c>
      <c r="H109" s="71" t="n"/>
      <c r="I109" s="71" t="n"/>
      <c r="J109" s="71" t="n"/>
    </row>
    <row r="110" ht="28" customHeight="1" s="85">
      <c r="A110" s="21" t="n"/>
      <c r="B110" s="22" t="inlineStr">
        <is>
          <t>Retired Game Break</t>
        </is>
      </c>
      <c r="C110" s="49" t="inlineStr">
        <is>
          <t>In The Zone</t>
        </is>
      </c>
      <c r="D110" s="38" t="inlineStr">
        <is>
          <t>Draw 1 card for each 10% SHOT the ball has, rounded down. Minimum 1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Role Player</t>
        </is>
      </c>
      <c r="D111" s="38" t="inlineStr">
        <is>
          <t>All other players draw 1 card</t>
        </is>
      </c>
      <c r="E111" s="7" t="n"/>
      <c r="F111" s="34" t="n">
        <v>0</v>
      </c>
      <c r="G111" s="74" t="n"/>
      <c r="H111" s="71" t="n"/>
      <c r="I111" s="71" t="n"/>
      <c r="J111" s="71" t="n"/>
    </row>
    <row r="112" ht="28" customHeight="1" s="85">
      <c r="A112" s="27" t="n"/>
      <c r="B112" s="28" t="inlineStr">
        <is>
          <t>Retired Game Break</t>
        </is>
      </c>
      <c r="C112" s="62" t="inlineStr">
        <is>
          <t>Back-and-Forth Game</t>
        </is>
      </c>
      <c r="D112" s="63" t="inlineStr">
        <is>
          <t>Discard the next 3 Game Breaks. Whoever draws one draws again</t>
        </is>
      </c>
      <c r="E112" s="58" t="n"/>
      <c r="F112" s="59" t="n">
        <v>0</v>
      </c>
      <c r="G112" s="79" t="n"/>
      <c r="H112" s="76" t="n"/>
      <c r="I112" s="76" t="n"/>
      <c r="J112" s="76" t="n"/>
    </row>
    <row r="113" ht="42" customHeight="1" s="85">
      <c r="A113" s="27" t="n"/>
      <c r="B113" s="28" t="inlineStr">
        <is>
          <t>Retired Game Break</t>
        </is>
      </c>
      <c r="C113" s="62" t="inlineStr">
        <is>
          <t>Off the Backboard</t>
        </is>
      </c>
      <c r="D113" s="63" t="inlineStr">
        <is>
          <t>Your next missed shot rebounds itself</t>
        </is>
      </c>
      <c r="E113" s="58" t="n"/>
      <c r="F113" s="59" t="n">
        <v>0</v>
      </c>
      <c r="G113" s="79" t="n"/>
      <c r="H113" s="76" t="n"/>
      <c r="I113" s="76" t="n"/>
      <c r="J113" s="76" t="n"/>
    </row>
    <row r="114" ht="56" customHeight="1" s="85">
      <c r="A114" s="52" t="inlineStr">
        <is>
          <t>Injury</t>
        </is>
      </c>
      <c r="B114" s="53">
        <f>COUNTIF($B$115:$B$147,"Injury")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57" customHeight="1" s="85">
      <c r="A115" s="27" t="n"/>
      <c r="B115" s="28" t="inlineStr">
        <is>
          <t>Injury</t>
        </is>
      </c>
      <c r="C115" s="56" t="inlineStr">
        <is>
          <t>Bone Bruise</t>
        </is>
      </c>
      <c r="D115" s="63" t="inlineStr">
        <is>
          <t>Discard 1 card at the start of each turn after drawing (your choice)</t>
        </is>
      </c>
      <c r="E115" s="58" t="n"/>
      <c r="F115" s="59" t="n">
        <v>5</v>
      </c>
      <c r="G115" s="75" t="n"/>
      <c r="H115" s="76" t="n"/>
      <c r="I115" s="76" t="n"/>
      <c r="J115" s="76" t="n"/>
    </row>
    <row r="116" ht="20" customHeight="1" s="85">
      <c r="A116" s="52" t="inlineStr">
        <is>
          <t>Devastating Injury</t>
        </is>
      </c>
      <c r="B116" s="53">
        <f>COUNTIF($B$117:$B$147,"Devastating 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28" customHeight="1" s="85">
      <c r="A117" s="27" t="n"/>
      <c r="B117" s="28" t="inlineStr">
        <is>
          <t>Devastating Injury</t>
        </is>
      </c>
      <c r="C117" s="64" t="inlineStr">
        <is>
          <t>Torn Achilles</t>
        </is>
      </c>
      <c r="D117" s="65" t="inlineStr">
        <is>
          <t>Hand is locked every turn except 1 card (randomly)</t>
        </is>
      </c>
      <c r="E117" s="58" t="n"/>
      <c r="F117" s="61" t="n"/>
      <c r="G117" s="75" t="n"/>
      <c r="H117" s="76" t="n"/>
      <c r="I117" s="76" t="n"/>
      <c r="J117" s="76" t="n"/>
    </row>
    <row r="118" ht="42" customHeight="1" s="85">
      <c r="A118" s="52" t="inlineStr">
        <is>
          <t>Intangible</t>
        </is>
      </c>
      <c r="B118" s="53">
        <f>COUNTIF($B$119:$B$147,"Intangible")</f>
        <v/>
      </c>
      <c r="C118" s="54" t="n"/>
      <c r="D118" s="54" t="n"/>
      <c r="E118" s="54" t="n"/>
      <c r="F118" s="55" t="n"/>
      <c r="G118" s="66" t="n"/>
      <c r="H118" s="67" t="n"/>
      <c r="I118" s="67" t="n"/>
      <c r="J118" s="67" t="n"/>
    </row>
    <row r="119" ht="28" customHeight="1" s="85">
      <c r="A119" s="42" t="inlineStr">
        <is>
          <t>All intangibles are limited to 1</t>
        </is>
      </c>
      <c r="B119" s="22" t="inlineStr">
        <is>
          <t>Intangible</t>
        </is>
      </c>
      <c r="C119" s="23" t="inlineStr">
        <is>
          <t>Board-Crasher</t>
        </is>
      </c>
      <c r="D119" s="6" t="inlineStr">
        <is>
          <t>SHOT +10% upon Rebounding your own missed shot</t>
        </is>
      </c>
      <c r="E119" s="7" t="n"/>
      <c r="F119" s="50" t="n"/>
      <c r="G119" s="70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4" t="inlineStr">
        <is>
          <t>Catch &amp; Shoot Specialist</t>
        </is>
      </c>
      <c r="D120" s="25" t="inlineStr">
        <is>
          <t>Additional SHOT +10% on all received passes</t>
        </is>
      </c>
      <c r="E120" s="26" t="n"/>
      <c r="F120" s="50" t="n"/>
      <c r="G120" s="72" t="n"/>
      <c r="H120" s="71" t="n"/>
      <c r="I120" s="71" t="n"/>
      <c r="J120" s="71" t="n"/>
    </row>
    <row r="121" ht="56" customHeight="1" s="85">
      <c r="A121" s="21" t="n"/>
      <c r="B121" s="22" t="inlineStr">
        <is>
          <t>Intangible</t>
        </is>
      </c>
      <c r="C121" s="23" t="inlineStr">
        <is>
          <t>Clutch Gene</t>
        </is>
      </c>
      <c r="D121" s="6" t="inlineStr">
        <is>
          <t>SHOT x2 if attempting a shot with 1 or fewer cards in hand or Shot Clock 3 or less</t>
        </is>
      </c>
      <c r="E121" s="7" t="n"/>
      <c r="F121" s="50" t="n"/>
      <c r="G121" s="70" t="n"/>
      <c r="H121" s="71" t="n"/>
      <c r="I121" s="71" t="n"/>
      <c r="J121" s="71" t="n"/>
    </row>
    <row r="122" ht="56" customHeight="1" s="85">
      <c r="B122" s="0" t="inlineStr">
        <is>
          <t>Intangible</t>
        </is>
      </c>
      <c r="C122" s="0" t="inlineStr">
        <is>
          <t>Roswell Reach</t>
        </is>
      </c>
      <c r="D122" s="0" t="inlineStr">
        <is>
          <t>All your Rebound bids of 1 or more count as 1 higher</t>
        </is>
      </c>
    </row>
    <row r="123" ht="28" customHeight="1" s="85">
      <c r="A123" s="21" t="n"/>
      <c r="B123" s="22" t="inlineStr">
        <is>
          <t>Intangible</t>
        </is>
      </c>
      <c r="C123" s="24" t="inlineStr">
        <is>
          <t>Floor General</t>
        </is>
      </c>
      <c r="D123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Fox-Like First Step</t>
        </is>
      </c>
      <c r="D124" s="6" t="inlineStr">
        <is>
          <t>All Move cards that reduce SHOT increase it by that amount instead.</t>
        </is>
      </c>
      <c r="E124" s="6" t="inlineStr">
        <is>
          <t>Your Move cards are unaffected by opponents</t>
        </is>
      </c>
      <c r="F124" s="51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37" t="inlineStr">
        <is>
          <t>Freethrow Merchant</t>
        </is>
      </c>
      <c r="D125" s="41" t="inlineStr">
        <is>
          <t>All Clamps on you grant 1 FT instead</t>
        </is>
      </c>
      <c r="E125" s="26" t="n"/>
      <c r="F125" s="50" t="n"/>
      <c r="G125" s="77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37" t="inlineStr">
        <is>
          <t>Generational Whistle</t>
        </is>
      </c>
      <c r="D126" s="38" t="inlineStr">
        <is>
          <t>Take 1 additional FT</t>
        </is>
      </c>
      <c r="E126" s="7" t="n"/>
      <c r="F126" s="50" t="n"/>
      <c r="G126" s="70" t="n"/>
      <c r="H126" s="71" t="n"/>
      <c r="I126" s="71" t="n"/>
      <c r="J126" s="71" t="n"/>
    </row>
    <row r="127" ht="14" customHeight="1" s="85">
      <c r="A127" s="21" t="n"/>
      <c r="B127" s="22" t="inlineStr">
        <is>
          <t>Intangible</t>
        </is>
      </c>
      <c r="C127" s="24" t="inlineStr">
        <is>
          <t>Gravity</t>
        </is>
      </c>
      <c r="D127" s="25" t="inlineStr">
        <is>
          <t>All Clamps automatically apply to you. +1 AST whenever another player attempts a shot</t>
        </is>
      </c>
      <c r="E127" s="26" t="n"/>
      <c r="F127" s="50" t="n"/>
      <c r="G127" s="72" t="n"/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Great Conditioning</t>
        </is>
      </c>
      <c r="D128" s="6" t="inlineStr">
        <is>
          <t>Immediately discard all Injury Game Breaks you draw and draw a new card for each</t>
        </is>
      </c>
      <c r="E128" s="7" t="n"/>
      <c r="F128" s="50" t="n"/>
      <c r="G128" s="70" t="n"/>
      <c r="H128" s="71" t="n"/>
      <c r="I128" s="71" t="n"/>
      <c r="J128" s="71" t="n"/>
    </row>
    <row r="129" ht="28" customHeight="1" s="85">
      <c r="A129" s="21" t="n"/>
      <c r="B129" s="22" t="inlineStr">
        <is>
          <t>Intangible</t>
        </is>
      </c>
      <c r="C129" s="24" t="inlineStr">
        <is>
          <t>Hot Hand</t>
        </is>
      </c>
      <c r="D129" s="25" t="inlineStr">
        <is>
          <t>SHOT +25% if you scored last round.</t>
        </is>
      </c>
      <c r="E129" s="26" t="n"/>
      <c r="F129" s="50" t="n"/>
      <c r="G129" s="72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3" t="inlineStr">
        <is>
          <t>Like That</t>
        </is>
      </c>
      <c r="D130" s="38" t="inlineStr">
        <is>
          <t>Your SHOT % cannot be reduced</t>
        </is>
      </c>
      <c r="E130" s="7" t="n"/>
      <c r="F130" s="50" t="n"/>
      <c r="G130" s="70" t="n"/>
      <c r="H130" s="71" t="n"/>
      <c r="I130" s="71" t="n"/>
      <c r="J130" s="71" t="n"/>
    </row>
    <row r="131" ht="28" customHeight="1" s="85">
      <c r="A131" s="21" t="n"/>
      <c r="B131" s="22" t="inlineStr">
        <is>
          <t>Intangible</t>
        </is>
      </c>
      <c r="C131" s="24" t="inlineStr">
        <is>
          <t>No Bag</t>
        </is>
      </c>
      <c r="D131" s="25" t="inlineStr">
        <is>
          <t>Cannot activate Move cards this round</t>
        </is>
      </c>
      <c r="E131" s="26" t="n"/>
      <c r="F131" s="50" t="n"/>
      <c r="G131" s="73" t="inlineStr">
        <is>
          <t>Bad card to draw</t>
        </is>
      </c>
      <c r="H131" s="71" t="n"/>
      <c r="I131" s="71" t="n"/>
      <c r="J131" s="71" t="n"/>
    </row>
    <row r="132" ht="28" customHeight="1" s="85">
      <c r="A132" s="21" t="n"/>
      <c r="B132" s="22" t="inlineStr">
        <is>
          <t>Intangible</t>
        </is>
      </c>
      <c r="C132" s="23" t="inlineStr">
        <is>
          <t>Point God</t>
        </is>
      </c>
      <c r="D132" s="6" t="inlineStr">
        <is>
          <t>Draw 1 card following each of your passes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Shooting Slump</t>
        </is>
      </c>
      <c r="D133" s="25" t="inlineStr">
        <is>
          <t>SHOT -20% this round</t>
        </is>
      </c>
      <c r="E133" s="26" t="n"/>
      <c r="F133" s="50" t="n"/>
      <c r="G133" s="73" t="inlineStr">
        <is>
          <t>Bad card to draw</t>
        </is>
      </c>
      <c r="H133" s="71" t="n"/>
      <c r="I133" s="71" t="n"/>
      <c r="J133" s="71" t="n"/>
    </row>
    <row r="134" ht="56" customHeight="1" s="85">
      <c r="A134" s="21" t="n"/>
      <c r="B134" s="22" t="inlineStr">
        <is>
          <t>Intangible</t>
        </is>
      </c>
      <c r="C134" s="23" t="inlineStr">
        <is>
          <t>Shot Creator</t>
        </is>
      </c>
      <c r="D134" s="6" t="inlineStr">
        <is>
          <t>Draw 1 additional card after every draw effect</t>
        </is>
      </c>
      <c r="E134" s="7" t="n"/>
      <c r="F134" s="50" t="n"/>
      <c r="G134" s="70" t="n"/>
      <c r="H134" s="71" t="n"/>
      <c r="I134" s="71" t="n"/>
      <c r="J134" s="71" t="n"/>
    </row>
    <row r="135" ht="56" customHeight="1" s="85">
      <c r="A135" s="21" t="n"/>
      <c r="B135" s="22" t="inlineStr">
        <is>
          <t>Intangible</t>
        </is>
      </c>
      <c r="C135" s="24" t="inlineStr">
        <is>
          <t>Sixth Man</t>
        </is>
      </c>
      <c r="D135" s="25" t="inlineStr">
        <is>
          <t>SHOT +60% on any six: cards in hand, Shot Clock, shot of the round, or score</t>
        </is>
      </c>
      <c r="E135" s="26" t="n"/>
      <c r="F135" s="50" t="n"/>
      <c r="G135" s="72" t="n"/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Sniper</t>
        </is>
      </c>
      <c r="D136" s="6" t="inlineStr">
        <is>
          <t>SHOT +25% on all Three-Point Line Shots</t>
        </is>
      </c>
      <c r="E136" s="7" t="n"/>
      <c r="F136" s="50" t="n"/>
      <c r="G136" s="70" t="n"/>
      <c r="H136" s="71" t="n"/>
      <c r="I136" s="71" t="n"/>
      <c r="J136" s="71" t="n"/>
    </row>
    <row r="137" ht="56" customHeight="1" s="85">
      <c r="A137" s="21" t="n"/>
      <c r="B137" s="22" t="inlineStr">
        <is>
          <t>Intangible</t>
        </is>
      </c>
      <c r="C137" s="24" t="inlineStr">
        <is>
          <t>Splash Cousin</t>
        </is>
      </c>
      <c r="D137" s="25" t="inlineStr">
        <is>
          <t>All Three-Point Line Shots: SHOT = 100%</t>
        </is>
      </c>
      <c r="E137" s="26" t="n"/>
      <c r="F137" s="50" t="n"/>
      <c r="G137" s="72" t="n"/>
      <c r="H137" s="71" t="n"/>
      <c r="I137" s="71" t="n"/>
      <c r="J137" s="71" t="n"/>
    </row>
    <row r="138" ht="126" customHeight="1" s="85">
      <c r="A138" s="21" t="n"/>
      <c r="B138" s="22" t="inlineStr">
        <is>
          <t>Intangible</t>
        </is>
      </c>
      <c r="C138" s="23" t="inlineStr">
        <is>
          <t>Competitive</t>
        </is>
      </c>
      <c r="D138" s="38" t="inlineStr">
        <is>
          <t>All Clamps on you have no effect on SHOT %</t>
        </is>
      </c>
      <c r="E138" s="7" t="n"/>
      <c r="F138" s="50" t="n"/>
      <c r="G138" s="70" t="n"/>
      <c r="H138" s="71" t="n"/>
      <c r="I138" s="71" t="n"/>
      <c r="J138" s="71" t="n"/>
    </row>
    <row r="139" ht="70" customHeight="1" s="85">
      <c r="A139" s="21" t="n"/>
      <c r="B139" s="22" t="inlineStr">
        <is>
          <t>Intangible</t>
        </is>
      </c>
      <c r="C139" s="24" t="inlineStr">
        <is>
          <t>Lethal Shooter</t>
        </is>
      </c>
      <c r="D139" s="25" t="inlineStr">
        <is>
          <t>SHOT = 100% on next shot attempt after rebounding your own miss.</t>
        </is>
      </c>
      <c r="E139" s="26" t="n"/>
      <c r="F139" s="50" t="n"/>
      <c r="G139" s="73" t="inlineStr">
        <is>
          <t>Special text: “I understand it now”</t>
        </is>
      </c>
      <c r="H139" s="71" t="n"/>
      <c r="I139" s="71" t="n"/>
      <c r="J139" s="71" t="n"/>
    </row>
    <row r="140" ht="56" customHeight="1" s="85">
      <c r="A140" s="21" t="n"/>
      <c r="B140" s="22" t="inlineStr">
        <is>
          <t>Intangible</t>
        </is>
      </c>
      <c r="C140" s="23" t="inlineStr">
        <is>
          <t>Ball Pounder</t>
        </is>
      </c>
      <c r="D140" s="38" t="inlineStr">
        <is>
          <t>All Dribble cards you play draw an additional card but lower SHOT by an additional 10%</t>
        </is>
      </c>
      <c r="E140" s="7" t="n"/>
      <c r="F140" s="50" t="n"/>
      <c r="G140" s="70" t="n"/>
      <c r="H140" s="71" t="n"/>
      <c r="I140" s="71" t="n"/>
      <c r="J140" s="71" t="n"/>
    </row>
    <row r="141" s="85">
      <c r="A141" s="21" t="n"/>
      <c r="B141" s="22" t="inlineStr">
        <is>
          <t>Intangible</t>
        </is>
      </c>
      <c r="C141" s="23" t="inlineStr">
        <is>
          <t>Unselfish</t>
        </is>
      </c>
      <c r="D141" s="38" t="inlineStr">
        <is>
          <t>Draw 1 card and increase next SHOT +5% whenever you positively affect another player</t>
        </is>
      </c>
      <c r="E141" s="7" t="n"/>
      <c r="F141" s="50" t="n"/>
      <c r="G141" s="70" t="n"/>
      <c r="H141" s="71" t="n"/>
      <c r="I141" s="71" t="n"/>
      <c r="J141" s="71" t="n"/>
    </row>
    <row r="142" s="85">
      <c r="A142" s="21" t="n"/>
      <c r="B142" s="22" t="inlineStr">
        <is>
          <t>Intangible</t>
        </is>
      </c>
      <c r="C142" s="23" t="inlineStr">
        <is>
          <t>Dirty Player</t>
        </is>
      </c>
      <c r="D142" s="38" t="inlineStr">
        <is>
          <t>When sending Clamps, the clamped player discards 1 if they have any Injuries</t>
        </is>
      </c>
      <c r="E142" s="7" t="n"/>
      <c r="F142" s="50" t="n"/>
      <c r="G142" s="70" t="n"/>
      <c r="H142" s="71" t="n"/>
      <c r="I142" s="71" t="n"/>
      <c r="J142" s="71" t="n"/>
    </row>
    <row r="143" s="85">
      <c r="A143" s="21" t="n"/>
      <c r="B143" s="22" t="inlineStr">
        <is>
          <t>Intangible</t>
        </is>
      </c>
      <c r="C143" s="23" t="inlineStr">
        <is>
          <t>Villainous Reputation</t>
        </is>
      </c>
      <c r="D143" s="38" t="inlineStr">
        <is>
          <t>Discard 1 whenever any Whistle triggers</t>
        </is>
      </c>
      <c r="E143" s="7" t="n"/>
      <c r="F143" s="50" t="n"/>
      <c r="G143" s="70" t="inlineStr">
        <is>
          <t>Discarded during play, it attaches to a random player — possibly you again</t>
        </is>
      </c>
      <c r="H143" s="71" t="n"/>
      <c r="I143" s="71" t="n"/>
      <c r="J143" s="71" t="n"/>
    </row>
    <row r="144" s="85">
      <c r="A144" s="21" t="n"/>
      <c r="B144" s="22" t="inlineStr">
        <is>
          <t>Intangible</t>
        </is>
      </c>
      <c r="C144" s="23" t="inlineStr">
        <is>
          <t>Free Agent</t>
        </is>
      </c>
      <c r="D144" s="38" t="inlineStr">
        <is>
          <t>Discard your hand. Play a card at random from a player of your choosing (they keep it)</t>
        </is>
      </c>
      <c r="E144" s="7" t="n"/>
      <c r="F144" s="50" t="n"/>
      <c r="G144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4" s="71" t="n"/>
      <c r="I144" s="71" t="n"/>
      <c r="J144" s="71" t="n"/>
    </row>
    <row r="145" s="85">
      <c r="A145" s="21" t="n"/>
      <c r="B145" s="22" t="inlineStr">
        <is>
          <t>Intangible</t>
        </is>
      </c>
      <c r="C145" s="23" t="inlineStr">
        <is>
          <t>Franchise Player</t>
        </is>
      </c>
      <c r="D145" s="38" t="inlineStr">
        <is>
          <t>When passing, choose 1 of the new player's Intangibles or a card in their hand for them to discard</t>
        </is>
      </c>
      <c r="E145" s="7" t="n"/>
      <c r="F145" s="50" t="n"/>
      <c r="G145" s="70" t="n"/>
      <c r="H145" s="71" t="n"/>
      <c r="I145" s="71" t="n"/>
      <c r="J145" s="71" t="n"/>
    </row>
    <row r="146" s="85">
      <c r="A146" s="27" t="n"/>
      <c r="B146" s="28" t="inlineStr">
        <is>
          <t>Intangible</t>
        </is>
      </c>
      <c r="C146" s="56" t="inlineStr">
        <is>
          <t>Fundamentalist</t>
        </is>
      </c>
      <c r="D146" s="63" t="inlineStr">
        <is>
          <t>No Special Moves. Each Move once a turn. Swings, Skip Pass and Dribble are never spent</t>
        </is>
      </c>
      <c r="E146" s="58" t="n"/>
      <c r="F146" s="61" t="n"/>
      <c r="G146" s="75" t="n"/>
      <c r="H146" s="76" t="n"/>
      <c r="I146" s="76" t="n"/>
      <c r="J146" s="76" t="n"/>
    </row>
    <row r="147" s="85">
      <c r="A147" s="27" t="n"/>
      <c r="B147" s="28" t="inlineStr">
        <is>
          <t>Intangible</t>
        </is>
      </c>
      <c r="C147" s="56" t="inlineStr">
        <is>
          <t>Moves At Own Pace</t>
        </is>
      </c>
      <c r="D147" s="63" t="inlineStr">
        <is>
          <t>Cannot be called for Traveling or Shot Clock violations</t>
        </is>
      </c>
      <c r="E147" s="58" t="n"/>
      <c r="F147" s="61" t="n">
        <v>1</v>
      </c>
      <c r="G147" s="75" t="n"/>
      <c r="H147" s="76" t="n"/>
    </row>
    <row r="148" ht="42" customHeight="1" s="85">
      <c r="A148" s="52" t="inlineStr">
        <is>
          <t>Varena</t>
        </is>
      </c>
      <c r="B148" s="53">
        <f>COUNTIF($B$149:$B$149,"Varena")</f>
        <v/>
      </c>
      <c r="C148" s="54" t="n"/>
      <c r="D148" s="54" t="n"/>
      <c r="E148" s="54" t="n"/>
      <c r="F148" s="55" t="n"/>
      <c r="G148" s="66" t="n"/>
      <c r="H148" s="67" t="n"/>
      <c r="I148" s="67" t="n"/>
      <c r="J148" s="67" t="n"/>
    </row>
    <row r="149" s="85">
      <c r="A149" s="27" t="n"/>
      <c r="B149" s="28" t="inlineStr">
        <is>
          <t>Varena</t>
        </is>
      </c>
      <c r="C149" s="56" t="inlineStr">
        <is>
          <t>Cardwood</t>
        </is>
      </c>
      <c r="D149" s="63" t="inlineStr">
        <is>
          <t>Changes the court back to basic</t>
        </is>
      </c>
      <c r="E149" s="58" t="n"/>
      <c r="F149" s="61" t="n">
        <v>5</v>
      </c>
      <c r="G149" s="75" t="inlineStr">
        <is>
          <t>Also the floor every game opens on, before anybody plays a Varena over it</t>
        </is>
      </c>
      <c r="H149" s="76" t="n"/>
      <c r="I149" s="76" t="n"/>
      <c r="J149" s="76" t="n"/>
    </row>
  </sheetData>
  <mergeCells count="128">
    <mergeCell ref="G88:J88"/>
    <mergeCell ref="G26:J26"/>
    <mergeCell ref="G55:J55"/>
    <mergeCell ref="G35:J35"/>
    <mergeCell ref="G4:J4"/>
    <mergeCell ref="G129:J129"/>
    <mergeCell ref="G109:J109"/>
    <mergeCell ref="G135:J135"/>
    <mergeCell ref="G47:J47"/>
    <mergeCell ref="G16:J16"/>
    <mergeCell ref="G76:J76"/>
    <mergeCell ref="G25:J25"/>
    <mergeCell ref="G119:J119"/>
    <mergeCell ref="G32:J32"/>
    <mergeCell ref="G99:J99"/>
    <mergeCell ref="G46:J46"/>
    <mergeCell ref="G60:J60"/>
    <mergeCell ref="G40:J40"/>
    <mergeCell ref="G9:J9"/>
    <mergeCell ref="G111:J111"/>
    <mergeCell ref="G131:J131"/>
    <mergeCell ref="G140:J140"/>
    <mergeCell ref="G72:J72"/>
    <mergeCell ref="G81:J81"/>
    <mergeCell ref="G59:J59"/>
    <mergeCell ref="G115:J115"/>
    <mergeCell ref="G130:J130"/>
    <mergeCell ref="G11:J11"/>
    <mergeCell ref="G71:J71"/>
    <mergeCell ref="G136:J136"/>
    <mergeCell ref="G117:J117"/>
    <mergeCell ref="G126:J126"/>
    <mergeCell ref="G132:J132"/>
    <mergeCell ref="G8:J8"/>
    <mergeCell ref="G39:J39"/>
    <mergeCell ref="G122:J122"/>
    <mergeCell ref="G82:J82"/>
    <mergeCell ref="G101:J101"/>
    <mergeCell ref="G116:J116"/>
    <mergeCell ref="G103:J103"/>
    <mergeCell ref="G37:J37"/>
    <mergeCell ref="G128:J128"/>
    <mergeCell ref="G10:J10"/>
    <mergeCell ref="G66:J66"/>
    <mergeCell ref="A4:B4"/>
    <mergeCell ref="G57:J57"/>
    <mergeCell ref="G13:J13"/>
    <mergeCell ref="G18:J18"/>
    <mergeCell ref="G53:J53"/>
    <mergeCell ref="G78:J78"/>
    <mergeCell ref="G118:J118"/>
    <mergeCell ref="G87:J87"/>
    <mergeCell ref="G121:J121"/>
    <mergeCell ref="G34:J34"/>
    <mergeCell ref="G74:J74"/>
    <mergeCell ref="G68:J68"/>
    <mergeCell ref="G139:J139"/>
    <mergeCell ref="G15:J15"/>
    <mergeCell ref="G108:J108"/>
    <mergeCell ref="G80:J80"/>
    <mergeCell ref="G58:J58"/>
    <mergeCell ref="G114:J114"/>
    <mergeCell ref="G95:J95"/>
    <mergeCell ref="G89:J89"/>
    <mergeCell ref="G123:J123"/>
    <mergeCell ref="G110:J110"/>
    <mergeCell ref="G79:J79"/>
    <mergeCell ref="G64:J64"/>
    <mergeCell ref="G73:J73"/>
    <mergeCell ref="G51:J51"/>
    <mergeCell ref="G20:J20"/>
    <mergeCell ref="G113:J113"/>
    <mergeCell ref="G91:J91"/>
    <mergeCell ref="G85:J85"/>
    <mergeCell ref="G54:J54"/>
    <mergeCell ref="G100:J100"/>
    <mergeCell ref="G63:J63"/>
    <mergeCell ref="G41:J41"/>
    <mergeCell ref="G134:J134"/>
    <mergeCell ref="G50:J50"/>
    <mergeCell ref="G106:J106"/>
    <mergeCell ref="G75:J75"/>
    <mergeCell ref="G44:J44"/>
    <mergeCell ref="G22:J22"/>
    <mergeCell ref="G84:J84"/>
    <mergeCell ref="G149:J149"/>
    <mergeCell ref="G56:J56"/>
    <mergeCell ref="G102:J102"/>
    <mergeCell ref="G14:J14"/>
    <mergeCell ref="G105:J105"/>
    <mergeCell ref="G43:J43"/>
    <mergeCell ref="G12:J12"/>
    <mergeCell ref="G77:J77"/>
    <mergeCell ref="G52:J52"/>
    <mergeCell ref="G21:J21"/>
    <mergeCell ref="G86:J86"/>
    <mergeCell ref="G120:J120"/>
    <mergeCell ref="G27:J27"/>
    <mergeCell ref="G98:J98"/>
    <mergeCell ref="G67:J67"/>
    <mergeCell ref="G36:J36"/>
    <mergeCell ref="G42:J42"/>
    <mergeCell ref="G61:J61"/>
    <mergeCell ref="G107:J107"/>
    <mergeCell ref="G70:J70"/>
    <mergeCell ref="G48:J48"/>
    <mergeCell ref="G23:J23"/>
    <mergeCell ref="G17:J17"/>
    <mergeCell ref="G125:J125"/>
    <mergeCell ref="G38:J38"/>
    <mergeCell ref="G7:J7"/>
    <mergeCell ref="G112:J112"/>
    <mergeCell ref="G19:J19"/>
    <mergeCell ref="G28:J28"/>
    <mergeCell ref="G62:J62"/>
    <mergeCell ref="G6:J6"/>
    <mergeCell ref="G127:J127"/>
    <mergeCell ref="G69:J69"/>
    <mergeCell ref="G49:J49"/>
    <mergeCell ref="G83:J83"/>
    <mergeCell ref="G24:J24"/>
    <mergeCell ref="G33:J33"/>
    <mergeCell ref="G124:J124"/>
    <mergeCell ref="G104:J104"/>
    <mergeCell ref="G5:J5"/>
    <mergeCell ref="G133:J133"/>
    <mergeCell ref="G65:J65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2026-09-13T15:03:39Z</dcterms:modified>
  <cp:lastModifiedBy>Montre Smith</cp:lastModifiedBy>
</cp:coreProperties>
</file>