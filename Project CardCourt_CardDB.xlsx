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COUNTIF($B$5:$B$146,"Pass")</f>
        <v/>
      </c>
      <c r="C2" s="13">
        <f>COUNTIF($B$5:$B$146,"Move")+COUNTIF($B$5:$B$146,"Special Move")</f>
        <v/>
      </c>
      <c r="D2" s="14">
        <f>COUNTIF($B$5:$B$146,"Clamp")</f>
        <v/>
      </c>
      <c r="E2" s="15">
        <f>COUNTIF($B$5:$B$146,"Whistle")</f>
        <v/>
      </c>
      <c r="F2" s="16">
        <f>COUNTIF($B$5:$B$146,"Game Break")</f>
        <v/>
      </c>
      <c r="G2" s="18">
        <f>COUNTIF($B$5:$B$146,"Injury")</f>
        <v/>
      </c>
      <c r="H2" s="19">
        <f>COUNTIF($B$5:$B$146,"Devastating Injury")</f>
        <v/>
      </c>
      <c r="I2" s="17">
        <f>COUNTIF($B$5:$B$146,"Intangible")</f>
        <v/>
      </c>
      <c r="J2" s="87">
        <f>SUM(B2:E2)+COUNTIF($B$5:$B$146,"Game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COUNTIF($B$6:$B$150,"Pass")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COUNTIF($B$22:$B$150,"Move")+COUNTIF($B$22:$B$150,"Special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n"/>
      <c r="F23" s="32" t="n">
        <v>15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1 card.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+10%. Clear all clamps on you. Draw 2 cards and Shot Clock -01 for each.</t>
        </is>
      </c>
      <c r="E27" s="6" t="n"/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1 card.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2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You may Discard 1 card for SHOT +10% extra.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Pick 1: Draw 3 cards / Pass (+0%) / SHOT +30%. (Cannot play other Move cards this possession.)</t>
        </is>
      </c>
      <c r="E33" s="25" t="n"/>
      <c r="F33" s="36" t="n">
        <v>10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COUNTIF($B$36:$B$150,"Special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• Heads: SHOT +25%
• Tails: SHOT -25%</t>
        </is>
      </c>
      <c r="E36" s="25" t="n"/>
      <c r="F36" s="36" t="n">
        <v>5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n"/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5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
• 3 or fewer Heads: SHOT +15% and Draw 1 card for each.
• 4 Heads: TOV +1 (This is a Travel)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SHOT = 100%. (Must be played as your first action and have no Clamps, Injuries, or active Whistles)</t>
        </is>
      </c>
      <c r="E48" s="58" t="n"/>
      <c r="F48" s="59" t="n">
        <v>5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
SHOT less than 50%: SHOT -25%</t>
        </is>
      </c>
      <c r="E51" s="0" t="n"/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COUNTIF($B$54:$B$150,"Clamp")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COUNTIF($B$63:$B$150,"Whistle")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27" t="n"/>
      <c r="B83" s="28" t="inlineStr">
        <is>
          <t>Whistle</t>
        </is>
      </c>
      <c r="C83" s="29" t="inlineStr">
        <is>
          <t>Tile Tampering</t>
        </is>
      </c>
      <c r="D83" s="30" t="inlineStr">
        <is>
          <t>Varena Played: Cancel card. TOV +1</t>
        </is>
      </c>
      <c r="E83" s="60" t="n"/>
      <c r="F83" s="61" t="n"/>
      <c r="G83" s="78" t="inlineStr">
        <is>
          <t>The Varena's player inbounds (side-out)</t>
        </is>
      </c>
      <c r="H83" s="76" t="n"/>
      <c r="I83" s="76" t="n"/>
      <c r="J83" s="76" t="n"/>
    </row>
    <row r="84" ht="28" customHeight="1" s="85">
      <c r="A84" s="27" t="n"/>
      <c r="B84" s="28" t="inlineStr">
        <is>
          <t>Whistle</t>
        </is>
      </c>
      <c r="C84" s="29" t="inlineStr">
        <is>
          <t>Over-Varing Evidence</t>
        </is>
      </c>
      <c r="D84" s="30" t="inlineStr">
        <is>
          <t>Variaball Played: Cancel card. TOV +1</t>
        </is>
      </c>
      <c r="E84" s="60" t="n"/>
      <c r="F84" s="61" t="n"/>
      <c r="G84" s="78" t="inlineStr">
        <is>
          <t>The Variaball's player inbounds (side-out)</t>
        </is>
      </c>
      <c r="H84" s="76" t="n"/>
      <c r="I84" s="76" t="n"/>
      <c r="J84" s="76" t="n"/>
    </row>
    <row r="85" ht="28" customHeight="1" s="85">
      <c r="A85" s="52" t="inlineStr">
        <is>
          <t>Retired Game Breaks</t>
        </is>
      </c>
      <c r="B85" s="53">
        <f>COUNTIF($B$86:$B$115,"Retired Game Break")</f>
        <v/>
      </c>
      <c r="C85" s="54" t="n"/>
      <c r="D85" s="54" t="n"/>
      <c r="E85" s="54" t="n"/>
      <c r="F85" s="55" t="n"/>
      <c r="G85" s="66" t="n"/>
      <c r="H85" s="67" t="n"/>
      <c r="I85" s="67" t="n"/>
      <c r="J85" s="67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2-Minute Warning</t>
        </is>
      </c>
      <c r="D86" s="25" t="inlineStr">
        <is>
          <t>All players discard down to 2 or fewer cards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28" customHeight="1" s="85">
      <c r="A87" s="21" t="n"/>
      <c r="B87" s="22" t="inlineStr">
        <is>
          <t>Retired Game Break</t>
        </is>
      </c>
      <c r="C87" s="23" t="inlineStr">
        <is>
          <t>Benched</t>
        </is>
      </c>
      <c r="D87" s="6" t="inlineStr">
        <is>
          <t>Immediately give ball to any other player.</t>
        </is>
      </c>
      <c r="E87" s="7" t="n"/>
      <c r="F87" s="34" t="n">
        <v>0</v>
      </c>
      <c r="G87" s="74" t="inlineStr">
        <is>
          <t>This is not a pass</t>
        </is>
      </c>
      <c r="H87" s="71" t="n"/>
      <c r="I87" s="71" t="n"/>
      <c r="J87" s="71" t="n"/>
    </row>
    <row r="88" ht="20" customHeight="1" s="85">
      <c r="A88" s="21" t="n"/>
      <c r="B88" s="22" t="inlineStr">
        <is>
          <t>Retired Game Break</t>
        </is>
      </c>
      <c r="C88" s="24" t="inlineStr">
        <is>
          <t>Crowd Noise</t>
        </is>
      </c>
      <c r="D88" s="25" t="inlineStr">
        <is>
          <t>Discard 1 card.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42" customHeight="1" s="85">
      <c r="A89" s="21" t="n"/>
      <c r="B89" s="22" t="inlineStr">
        <is>
          <t>Retired Game Break</t>
        </is>
      </c>
      <c r="C89" s="23" t="inlineStr">
        <is>
          <t>Designed Play</t>
        </is>
      </c>
      <c r="D89" s="6" t="inlineStr">
        <is>
          <t>Draw up to a hand of 5</t>
        </is>
      </c>
      <c r="E89" s="7" t="n"/>
      <c r="F89" s="34" t="n">
        <v>0</v>
      </c>
      <c r="G89" s="70" t="n"/>
      <c r="H89" s="71" t="n"/>
      <c r="I89" s="71" t="n"/>
      <c r="J89" s="71" t="n"/>
    </row>
    <row r="90" ht="28" customHeight="1" s="85">
      <c r="A90" s="21" t="n"/>
      <c r="B90" s="22" t="inlineStr">
        <is>
          <t>Retired Game Break</t>
        </is>
      </c>
      <c r="C90" s="37" t="inlineStr">
        <is>
          <t>Foul</t>
        </is>
      </c>
      <c r="D90" s="25" t="inlineStr">
        <is>
          <t>Take 1 FT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23" t="inlineStr">
        <is>
          <t>MVP Vote</t>
        </is>
      </c>
      <c r="D91" s="6" t="inlineStr">
        <is>
          <t>Draw 3 cards up to a hand of 7</t>
        </is>
      </c>
      <c r="E91" s="7" t="n"/>
      <c r="F91" s="34" t="n">
        <v>0</v>
      </c>
      <c r="G91" s="70" t="n"/>
      <c r="H91" s="71" t="n"/>
      <c r="I91" s="71" t="n"/>
      <c r="J91" s="71" t="n"/>
    </row>
    <row r="92" ht="42" customHeight="1" s="85">
      <c r="A92" s="21" t="n"/>
      <c r="B92" s="22" t="inlineStr">
        <is>
          <t>Retired Game Break</t>
        </is>
      </c>
      <c r="C92" s="24" t="inlineStr">
        <is>
          <t>Off Night</t>
        </is>
      </c>
      <c r="D92" s="25" t="inlineStr">
        <is>
          <t>SHOT -20% this possession</t>
        </is>
      </c>
      <c r="E92" s="26" t="n"/>
      <c r="F92" s="33" t="n">
        <v>0</v>
      </c>
      <c r="G92" s="72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23" t="inlineStr">
        <is>
          <t>Swallowed Whistle</t>
        </is>
      </c>
      <c r="D93" s="6" t="inlineStr">
        <is>
          <t>Whistle cards cannot activate this turn.</t>
        </is>
      </c>
      <c r="E93" s="6" t="inlineStr">
        <is>
          <t>Remains for remainder of round</t>
        </is>
      </c>
      <c r="F93" s="32" t="n">
        <v>0</v>
      </c>
      <c r="G93" s="70" t="n"/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24" t="inlineStr">
        <is>
          <t>Rock Fight</t>
        </is>
      </c>
      <c r="D94" s="25" t="inlineStr">
        <is>
          <t>Players cannot shoot when SHOT is above 50%</t>
        </is>
      </c>
      <c r="E94" s="25" t="inlineStr">
        <is>
          <t>Remains for remainder of round</t>
        </is>
      </c>
      <c r="F94" s="36" t="n">
        <v>0</v>
      </c>
      <c r="G94" s="72" t="n"/>
      <c r="H94" s="71" t="n"/>
      <c r="I94" s="71" t="n"/>
      <c r="J94" s="71" t="n"/>
    </row>
    <row r="95" ht="28" customHeight="1" s="85">
      <c r="A95" s="21" t="n"/>
      <c r="B95" s="22" t="inlineStr">
        <is>
          <t>Retired Game Break</t>
        </is>
      </c>
      <c r="C95" s="23" t="inlineStr">
        <is>
          <t>Traded Mid-Game</t>
        </is>
      </c>
      <c r="D95" s="6" t="inlineStr">
        <is>
          <t>Swap hands with a random other player</t>
        </is>
      </c>
      <c r="E95" s="7" t="n"/>
      <c r="F95" s="34" t="n">
        <v>0</v>
      </c>
      <c r="G95" s="74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49" t="inlineStr">
        <is>
          <t>Salary Cap Increase</t>
        </is>
      </c>
      <c r="D96" s="38" t="inlineStr">
        <is>
          <t>All players 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49" t="inlineStr">
        <is>
          <t>All-Swissh Selection</t>
        </is>
      </c>
      <c r="D97" s="38" t="inlineStr">
        <is>
          <t>Draw 3 cards after your next make</t>
        </is>
      </c>
      <c r="E97" s="7" t="n"/>
      <c r="F97" s="34" t="n">
        <v>0</v>
      </c>
      <c r="G97" s="74" t="inlineStr">
        <is>
          <t>Arms an icon in the HUD tracking the pending draws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All Star Selection</t>
        </is>
      </c>
      <c r="D98" s="38" t="inlineStr">
        <is>
          <t>Draw 2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Hit the Bike</t>
        </is>
      </c>
      <c r="D99" s="38" t="inlineStr">
        <is>
          <t>Discard all Injuries. Draw 1 card. Give possession to another player</t>
        </is>
      </c>
      <c r="E99" s="7" t="n"/>
      <c r="F99" s="34" t="n">
        <v>0</v>
      </c>
      <c r="G99" s="74" t="inlineStr">
        <is>
          <t>This is not a pass</t>
        </is>
      </c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49" t="inlineStr">
        <is>
          <t>Ice Wrap</t>
        </is>
      </c>
      <c r="D100" s="38" t="inlineStr">
        <is>
          <t>Draw 1 card. Discard all Injuries. If none, draw 1 additional card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49" t="inlineStr">
        <is>
          <t>Wet Spot</t>
        </is>
      </c>
      <c r="D101" s="38" t="inlineStr">
        <is>
          <t>All Injuries in the discards and deck are displayed. Take one</t>
        </is>
      </c>
      <c r="E101" s="7" t="n"/>
      <c r="F101" s="34" t="n">
        <v>0</v>
      </c>
      <c r="G101" s="74" t="inlineStr">
        <is>
          <t>Deck ones are shown face down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Fresh Ball</t>
        </is>
      </c>
      <c r="D102" s="38" t="inlineStr">
        <is>
          <t>Next player does not draw at the start of their possession</t>
        </is>
      </c>
      <c r="E102" s="7" t="n"/>
      <c r="F102" s="34" t="n">
        <v>0</v>
      </c>
      <c r="G102" s="74" t="inlineStr">
        <is>
          <t>This is a bad thing in the NBA</t>
        </is>
      </c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Trade Deadline</t>
        </is>
      </c>
      <c r="D103" s="38" t="inlineStr">
        <is>
          <t>Declare Left or Right: every player passes their hand that way. The ball goes with it</t>
        </is>
      </c>
      <c r="E103" s="7" t="n"/>
      <c r="F103" s="34" t="n">
        <v>0</v>
      </c>
      <c r="G103" s="74" t="inlineStr">
        <is>
          <t>The hex travels in the declared direction too</t>
        </is>
      </c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Floor Cleanup</t>
        </is>
      </c>
      <c r="D104" s="38" t="inlineStr">
        <is>
          <t>All players shuffle their hands into the deck and draw the same number of cards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Official Timeout</t>
        </is>
      </c>
      <c r="D105" s="38" t="inlineStr">
        <is>
          <t>At least 1 referee must be armed: discard all Injuries on all players and clear all referees. If none, all players draw 1 card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Team Doctor</t>
        </is>
      </c>
      <c r="D106" s="38" t="inlineStr">
        <is>
          <t>Discard 1 Injury from a player of choice. Draw 2 cards if not choosing yourself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Altercation</t>
        </is>
      </c>
      <c r="D107" s="38" t="inlineStr">
        <is>
          <t>Select another player: you and that player each discard 1 card at random. Inbound the ball to a player other than that target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Huge Altercation</t>
        </is>
      </c>
      <c r="D108" s="38" t="inlineStr">
        <is>
          <t>All players discard their hands. If a ref is armed, all players receive 1 TOV. Inbound the ball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Home Court Advantage</t>
        </is>
      </c>
      <c r="D109" s="38" t="inlineStr">
        <is>
          <t>SHOT + 25%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Away Game</t>
        </is>
      </c>
      <c r="D110" s="38" t="inlineStr">
        <is>
          <t>SHOT - 10%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Mic'd Up</t>
        </is>
      </c>
      <c r="D111" s="38" t="inlineStr">
        <is>
          <t>SHOT + 10% until passed or shot</t>
        </is>
      </c>
      <c r="E111" s="7" t="n"/>
      <c r="F111" s="34" t="n">
        <v>0</v>
      </c>
      <c r="G111" s="74" t="inlineStr">
        <is>
          <t>The boost is the holder's alone and does not travel with a pass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In The Zone</t>
        </is>
      </c>
      <c r="D112" s="38" t="inlineStr">
        <is>
          <t>Draw 1 card for each 10% SHOT the ball has, rounded down. Minimum 1</t>
        </is>
      </c>
      <c r="E112" s="7" t="n"/>
      <c r="F112" s="34" t="n">
        <v>0</v>
      </c>
      <c r="G112" s="74" t="n"/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Role Player</t>
        </is>
      </c>
      <c r="D113" s="38" t="inlineStr">
        <is>
          <t>All other players draw 1 card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7" t="n"/>
      <c r="B114" s="28" t="inlineStr">
        <is>
          <t>Retired Game Break</t>
        </is>
      </c>
      <c r="C114" s="62" t="inlineStr">
        <is>
          <t>Back-and-Forth Game</t>
        </is>
      </c>
      <c r="D114" s="63" t="inlineStr">
        <is>
          <t>Discard the next 3 Game Breaks. Whoever draws one draws again</t>
        </is>
      </c>
      <c r="E114" s="58" t="n"/>
      <c r="F114" s="59" t="n">
        <v>0</v>
      </c>
      <c r="G114" s="79" t="n"/>
      <c r="H114" s="76" t="n"/>
      <c r="I114" s="76" t="n"/>
      <c r="J114" s="76" t="n"/>
    </row>
    <row r="115" ht="42" customHeight="1" s="85">
      <c r="A115" s="27" t="n"/>
      <c r="B115" s="28" t="inlineStr">
        <is>
          <t>Retired Game Break</t>
        </is>
      </c>
      <c r="C115" s="62" t="inlineStr">
        <is>
          <t>Off the Backboard</t>
        </is>
      </c>
      <c r="D115" s="63" t="inlineStr">
        <is>
          <t>Your next missed shot rebounds itself</t>
        </is>
      </c>
      <c r="E115" s="58" t="n"/>
      <c r="F115" s="59" t="n">
        <v>0</v>
      </c>
      <c r="G115" s="79" t="n"/>
      <c r="H115" s="76" t="n"/>
      <c r="I115" s="76" t="n"/>
      <c r="J115" s="76" t="n"/>
    </row>
    <row r="116" ht="56" customHeight="1" s="85">
      <c r="A116" s="52" t="inlineStr">
        <is>
          <t>Injury</t>
        </is>
      </c>
      <c r="B116" s="53">
        <f>COUNTIF($B$117:$B$150,"Injury")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57" customHeight="1" s="85">
      <c r="A117" s="27" t="n"/>
      <c r="B117" s="28" t="inlineStr">
        <is>
          <t>Injury</t>
        </is>
      </c>
      <c r="C117" s="56" t="inlineStr">
        <is>
          <t>Bone Bruise</t>
        </is>
      </c>
      <c r="D117" s="63" t="inlineStr">
        <is>
          <t>Discard 1 card at the start of each turn after drawing (your choice)</t>
        </is>
      </c>
      <c r="E117" s="58" t="n"/>
      <c r="F117" s="59" t="n">
        <v>5</v>
      </c>
      <c r="G117" s="75" t="n"/>
      <c r="H117" s="76" t="n"/>
      <c r="I117" s="76" t="n"/>
      <c r="J117" s="76" t="n"/>
    </row>
    <row r="118" ht="20" customHeight="1" s="85">
      <c r="A118" s="52" t="inlineStr">
        <is>
          <t>Devastating Injury</t>
        </is>
      </c>
      <c r="B118" s="53">
        <f>COUNTIF($B$119:$B$150,"Devastating Injury")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27" t="n"/>
      <c r="B119" s="28" t="inlineStr">
        <is>
          <t>Devastating Injury</t>
        </is>
      </c>
      <c r="C119" s="64" t="inlineStr">
        <is>
          <t>Torn Achilles</t>
        </is>
      </c>
      <c r="D119" s="65" t="inlineStr">
        <is>
          <t>Hand is locked every turn except 1 card (randomly)</t>
        </is>
      </c>
      <c r="E119" s="58" t="n"/>
      <c r="F119" s="61" t="n"/>
      <c r="G119" s="75" t="n"/>
      <c r="H119" s="76" t="n"/>
      <c r="I119" s="76" t="n"/>
      <c r="J119" s="76" t="n"/>
    </row>
    <row r="120" ht="42" customHeight="1" s="85">
      <c r="A120" s="52" t="inlineStr">
        <is>
          <t>Intangible</t>
        </is>
      </c>
      <c r="B120" s="53">
        <f>COUNTIF($B$121:$B$150,"Intangible")</f>
        <v/>
      </c>
      <c r="C120" s="54" t="n"/>
      <c r="D120" s="54" t="n"/>
      <c r="E120" s="54" t="n"/>
      <c r="F120" s="55" t="n"/>
      <c r="G120" s="66" t="n"/>
      <c r="H120" s="67" t="n"/>
      <c r="I120" s="67" t="n"/>
      <c r="J120" s="67" t="n"/>
    </row>
    <row r="121" ht="28" customHeight="1" s="85">
      <c r="A121" s="42" t="inlineStr">
        <is>
          <t>All intangibles are limited to 1</t>
        </is>
      </c>
      <c r="B121" s="22" t="inlineStr">
        <is>
          <t>Intangible</t>
        </is>
      </c>
      <c r="C121" s="23" t="inlineStr">
        <is>
          <t>Board-Crasher</t>
        </is>
      </c>
      <c r="D121" s="6" t="inlineStr">
        <is>
          <t>SHOT +25% when shooting as your first action after a Rebound of your own miss.</t>
        </is>
      </c>
      <c r="E121" s="7" t="n"/>
      <c r="F121" s="50" t="n"/>
      <c r="G121" s="70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4" t="inlineStr">
        <is>
          <t>Catch &amp; Shoot Specialist</t>
        </is>
      </c>
      <c r="D122" s="25" t="inlineStr">
        <is>
          <t>SHOT +25% when shooting as your first action after a Pass</t>
        </is>
      </c>
      <c r="E122" s="26" t="n"/>
      <c r="F122" s="50" t="n"/>
      <c r="G122" s="72" t="n"/>
      <c r="H122" s="71" t="n"/>
      <c r="I122" s="71" t="n"/>
      <c r="J122" s="71" t="n"/>
    </row>
    <row r="123" ht="56" customHeight="1" s="85">
      <c r="A123" s="21" t="n"/>
      <c r="B123" s="22" t="inlineStr">
        <is>
          <t>Intangible</t>
        </is>
      </c>
      <c r="C123" s="23" t="inlineStr">
        <is>
          <t>Clutch Gene</t>
        </is>
      </c>
      <c r="D123" s="6" t="inlineStr">
        <is>
          <t>SHOT = 2X if you have 1 card or fewer in hand, or the Shot Clock is 03 or less</t>
        </is>
      </c>
      <c r="E123" s="7" t="n"/>
      <c r="F123" s="50" t="n"/>
      <c r="G123" s="70" t="n"/>
      <c r="H123" s="71" t="n"/>
      <c r="I123" s="71" t="n"/>
      <c r="J123" s="71" t="n"/>
    </row>
    <row r="124" ht="56" customHeight="1" s="85">
      <c r="B124" s="0" t="inlineStr">
        <is>
          <t>Intangible</t>
        </is>
      </c>
      <c r="C124" s="0" t="inlineStr">
        <is>
          <t>Roswell Reach</t>
        </is>
      </c>
      <c r="D124" s="0" t="inlineStr">
        <is>
          <t>All your Rebound bids of 1 or more count as 1 higher</t>
        </is>
      </c>
    </row>
    <row r="125" ht="28" customHeight="1" s="85">
      <c r="A125" s="21" t="n"/>
      <c r="B125" s="22" t="inlineStr">
        <is>
          <t>Intangible</t>
        </is>
      </c>
      <c r="C125" s="24" t="inlineStr">
        <is>
          <t>Floor General</t>
        </is>
      </c>
      <c r="D125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Southpaw Shooter</t>
        </is>
      </c>
      <c r="D126" s="6" t="inlineStr">
        <is>
          <t>SHOT gains and losses are reversed</t>
        </is>
      </c>
      <c r="E126" s="6" t="n"/>
      <c r="F126" s="51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37" t="inlineStr">
        <is>
          <t>Freethrow Merchant</t>
        </is>
      </c>
      <c r="D127" s="41" t="inlineStr">
        <is>
          <t>All Clamps on you grant 1 FT instead</t>
        </is>
      </c>
      <c r="E127" s="26" t="n"/>
      <c r="F127" s="50" t="n"/>
      <c r="G127" s="77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37" t="inlineStr">
        <is>
          <t>Generational Whistle</t>
        </is>
      </c>
      <c r="D128" s="38" t="inlineStr">
        <is>
          <t>Take 1 additional FT</t>
        </is>
      </c>
      <c r="E128" s="7" t="n"/>
      <c r="F128" s="50" t="n"/>
      <c r="G128" s="70" t="n"/>
      <c r="H128" s="71" t="n"/>
      <c r="I128" s="71" t="n"/>
      <c r="J128" s="71" t="n"/>
    </row>
    <row r="129" ht="14" customHeight="1" s="85">
      <c r="A129" s="21" t="n"/>
      <c r="B129" s="22" t="inlineStr">
        <is>
          <t>Intangible</t>
        </is>
      </c>
      <c r="C129" s="24" t="inlineStr">
        <is>
          <t>Gravity</t>
        </is>
      </c>
      <c r="D129" s="25" t="inlineStr">
        <is>
          <t>All Clamps automatically apply to you. +1 AST whenever another player attempts a shot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Great Conditioning</t>
        </is>
      </c>
      <c r="D130" s="6" t="inlineStr">
        <is>
          <t>Immediately discard all Injuries you draw and draw a new card for each</t>
        </is>
      </c>
      <c r="E130" s="7" t="n"/>
      <c r="F130" s="50" t="n"/>
      <c r="G130" s="70" t="inlineStr">
        <is>
          <t>Also discards any Injuries you already have (not on the card)</t>
        </is>
      </c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Hot Hand</t>
        </is>
      </c>
      <c r="D131" s="25" t="inlineStr">
        <is>
          <t>SHOT +25% if you scored last round.</t>
        </is>
      </c>
      <c r="E131" s="26" t="n"/>
      <c r="F131" s="50" t="n"/>
      <c r="G131" s="72" t="n"/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Like That</t>
        </is>
      </c>
      <c r="D132" s="38" t="inlineStr">
        <is>
          <t>Your SHOT % cannot be reduced</t>
        </is>
      </c>
      <c r="E132" s="7" t="n"/>
      <c r="F132" s="50" t="n"/>
      <c r="G132" s="70" t="inlineStr">
        <is>
          <t>Variaball effects still lower SHOT: the ball is altered, not the player (not on the card)</t>
        </is>
      </c>
      <c r="H132" s="71" t="n"/>
      <c r="I132" s="71" t="n"/>
      <c r="J132" s="71" t="n"/>
    </row>
    <row r="133" ht="28" customHeight="1" s="85">
      <c r="A133" s="21" t="n"/>
      <c r="B133" s="22" t="inlineStr">
        <is>
          <t>Intangible</t>
        </is>
      </c>
      <c r="C133" s="24" t="inlineStr">
        <is>
          <t>Park Shark</t>
        </is>
      </c>
      <c r="D133" s="25" t="inlineStr">
        <is>
          <t>SHOT +25%. Cannot play Move cards or shoot Threes</t>
        </is>
      </c>
      <c r="E133" s="26" t="n"/>
      <c r="F133" s="50" t="n"/>
      <c r="G133" s="73" t="n"/>
      <c r="H133" s="71" t="n"/>
      <c r="I133" s="71" t="n"/>
      <c r="J133" s="71" t="n"/>
    </row>
    <row r="134" ht="28" customHeight="1" s="85">
      <c r="A134" s="21" t="n"/>
      <c r="B134" s="22" t="inlineStr">
        <is>
          <t>Intangible</t>
        </is>
      </c>
      <c r="C134" s="23" t="inlineStr">
        <is>
          <t>Point God</t>
        </is>
      </c>
      <c r="D134" s="6" t="inlineStr">
        <is>
          <t>Draw 1 card following each of your passes</t>
        </is>
      </c>
      <c r="E134" s="7" t="n"/>
      <c r="F134" s="50" t="n"/>
      <c r="G134" s="70" t="n"/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Shot Creator</t>
        </is>
      </c>
      <c r="D135" s="25" t="inlineStr">
        <is>
          <t>Draw 1 additional card after every draw effect</t>
        </is>
      </c>
      <c r="E135" s="26" t="n"/>
      <c r="F135" s="50" t="n"/>
      <c r="G135" s="73" t="inlineStr">
        <is>
          <t>Triggers once per act of drawing: a Draw 2 still gives only 1 extra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Sixth Man</t>
        </is>
      </c>
      <c r="D136" s="6" t="inlineStr">
        <is>
          <t>SHOT = 60% on any six: cards in hand, Shot Clock, shot of the round, or Score</t>
        </is>
      </c>
      <c r="E136" s="7" t="n"/>
      <c r="F136" s="50" t="n"/>
      <c r="G136" s="70" t="inlineStr">
        <is>
          <t>A second SHOOT (60%) button beside Shoot, shown only on a six. Ignore it when SHOT is already higher</t>
        </is>
      </c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Sniper</t>
        </is>
      </c>
      <c r="D137" s="25" t="inlineStr">
        <is>
          <t>SHOT +25% when attempting a Three</t>
        </is>
      </c>
      <c r="E137" s="26" t="n"/>
      <c r="F137" s="50" t="n"/>
      <c r="G137" s="72" t="n"/>
      <c r="H137" s="71" t="n"/>
      <c r="I137" s="71" t="n"/>
      <c r="J137" s="71" t="n"/>
    </row>
    <row r="138" ht="56" customHeight="1" s="85">
      <c r="A138" s="21" t="n"/>
      <c r="B138" s="22" t="inlineStr">
        <is>
          <t>Intangible</t>
        </is>
      </c>
      <c r="C138" s="23" t="inlineStr">
        <is>
          <t>Splash Cousin</t>
        </is>
      </c>
      <c r="D138" s="6" t="inlineStr">
        <is>
          <t>SHOT = 100% when attempting a Three</t>
        </is>
      </c>
      <c r="E138" s="7" t="n"/>
      <c r="F138" s="50" t="n"/>
      <c r="G138" s="70" t="n"/>
      <c r="H138" s="71" t="n"/>
      <c r="I138" s="71" t="n"/>
      <c r="J138" s="71" t="n"/>
    </row>
    <row r="139" ht="56" customHeight="1" s="85">
      <c r="A139" s="21" t="n"/>
      <c r="B139" s="22" t="inlineStr">
        <is>
          <t>Intangible</t>
        </is>
      </c>
      <c r="C139" s="24" t="inlineStr">
        <is>
          <t>Competitive</t>
        </is>
      </c>
      <c r="D139" s="25" t="inlineStr">
        <is>
          <t>All Clamps on you have no effect on SHOT %</t>
        </is>
      </c>
      <c r="E139" s="26" t="n"/>
      <c r="F139" s="50" t="n"/>
      <c r="G139" s="72" t="n"/>
      <c r="H139" s="71" t="n"/>
      <c r="I139" s="71" t="n"/>
      <c r="J139" s="71" t="n"/>
    </row>
    <row r="140" ht="126" customHeight="1" s="85">
      <c r="A140" s="21" t="n"/>
      <c r="B140" s="22" t="inlineStr">
        <is>
          <t>Intangible</t>
        </is>
      </c>
      <c r="C140" s="23" t="inlineStr">
        <is>
          <t>Lethal Shooter</t>
        </is>
      </c>
      <c r="D140" s="38" t="inlineStr">
        <is>
          <t>SHOT = 100% when shooting as your first action after a Rebound of your own miss</t>
        </is>
      </c>
      <c r="E140" s="7" t="n"/>
      <c r="F140" s="50" t="n"/>
      <c r="G140" s="70" t="inlineStr">
        <is>
          <t>Special text: “I understand it now”</t>
        </is>
      </c>
      <c r="H140" s="71" t="n"/>
      <c r="I140" s="71" t="n"/>
      <c r="J140" s="71" t="n"/>
    </row>
    <row r="141" ht="70" customHeight="1" s="85">
      <c r="A141" s="21" t="n"/>
      <c r="B141" s="22" t="inlineStr">
        <is>
          <t>Intangible</t>
        </is>
      </c>
      <c r="C141" s="24" t="inlineStr">
        <is>
          <t>Ball Pounder</t>
        </is>
      </c>
      <c r="D141" s="25" t="inlineStr">
        <is>
          <t>Every Dribble draws 1 card but gives SHOT -10% and Shot Clock - 01</t>
        </is>
      </c>
      <c r="E141" s="26" t="n"/>
      <c r="F141" s="50" t="n"/>
      <c r="G141" s="73" t="n"/>
      <c r="H141" s="71" t="n"/>
      <c r="I141" s="71" t="n"/>
      <c r="J141" s="71" t="n"/>
    </row>
    <row r="142" ht="56" customHeight="1" s="85">
      <c r="A142" s="21" t="n"/>
      <c r="B142" s="22" t="inlineStr">
        <is>
          <t>Intangible</t>
        </is>
      </c>
      <c r="C142" s="23" t="inlineStr">
        <is>
          <t>Dirty Player</t>
        </is>
      </c>
      <c r="D142" s="38" t="inlineStr">
        <is>
          <t>When sending Clamps, the clamped player discards 1 for each of your Clamps if they have any Injuries. Discard 1 whenever a Whistle triggers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Free Agent</t>
        </is>
      </c>
      <c r="D143" s="38" t="inlineStr">
        <is>
          <t>Discard your hand. Play a card at random from a player of your choosing (they keep it)</t>
        </is>
      </c>
      <c r="E143" s="7" t="n"/>
      <c r="F143" s="50" t="n"/>
      <c r="G143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Franchise Player</t>
        </is>
      </c>
      <c r="D144" s="38" t="inlineStr">
        <is>
          <t>When passing, choose 1 of the new player's Intangibles or a card in their hand for them to discard</t>
        </is>
      </c>
      <c r="E144" s="7" t="n"/>
      <c r="F144" s="50" t="n"/>
      <c r="G144" s="70" t="n"/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Fundamentalist</t>
        </is>
      </c>
      <c r="D145" s="38" t="inlineStr">
        <is>
          <t>No Special Moves. Each Move once a turn. Swings, Skip Pass and Dribble are never spent. Discards the current ball</t>
        </is>
      </c>
      <c r="E145" s="7" t="n"/>
      <c r="F145" s="50" t="n"/>
      <c r="G145" s="70" t="inlineStr">
        <is>
          <t>The ball is discarded once, on activation</t>
        </is>
      </c>
      <c r="H145" s="71" t="n"/>
      <c r="I145" s="71" t="n"/>
      <c r="J145" s="71" t="n"/>
    </row>
    <row r="146" s="85">
      <c r="A146" s="21" t="n"/>
      <c r="B146" s="22" t="inlineStr">
        <is>
          <t>Intangible</t>
        </is>
      </c>
      <c r="C146" s="23" t="inlineStr">
        <is>
          <t>Moves At Own Pace</t>
        </is>
      </c>
      <c r="D146" s="38" t="inlineStr">
        <is>
          <t>Cannot be called for Traveling or Shot Clock violations</t>
        </is>
      </c>
      <c r="E146" s="7" t="n"/>
      <c r="F146" s="50" t="n">
        <v>1</v>
      </c>
      <c r="G146" s="70" t="n"/>
      <c r="H146" s="71" t="n"/>
      <c r="I146" s="71" t="n"/>
      <c r="J146" s="71" t="n"/>
    </row>
    <row r="147" s="85">
      <c r="A147" s="21" t="n"/>
      <c r="B147" s="22" t="inlineStr">
        <is>
          <t>Intangible</t>
        </is>
      </c>
      <c r="C147" s="23" t="inlineStr">
        <is>
          <t>Equalizer</t>
        </is>
      </c>
      <c r="D147" s="38" t="inlineStr">
        <is>
          <t>You may Discard this card when shooting: SHOT = 100%. All players' pts become your new total pts.</t>
        </is>
      </c>
      <c r="E147" s="7" t="n"/>
      <c r="F147" s="50" t="n"/>
      <c r="G147" s="70" t="inlineStr">
        <is>
          <t>The points change comes after the make</t>
        </is>
      </c>
      <c r="H147" s="71" t="n"/>
      <c r="I147" s="71" t="n"/>
      <c r="J147" s="71" t="n"/>
    </row>
    <row r="148" s="85">
      <c r="A148" s="27" t="n"/>
      <c r="B148" s="28" t="inlineStr">
        <is>
          <t>Intangible</t>
        </is>
      </c>
      <c r="C148" s="56" t="inlineStr">
        <is>
          <t>Varsitile</t>
        </is>
      </c>
      <c r="D148" s="63" t="inlineStr">
        <is>
          <t>You can play more than 1 Varena and Variaball per turn. Once per possession, you can exchange the Varena and/or ball for one in the Discards</t>
        </is>
      </c>
      <c r="E148" s="58" t="n"/>
      <c r="F148" s="61" t="n"/>
      <c r="G148" s="75" t="inlineStr">
        <is>
          <t>One use can exchange both</t>
        </is>
      </c>
      <c r="H148" s="76" t="n"/>
      <c r="I148" s="76" t="n"/>
      <c r="J148" s="76" t="n"/>
    </row>
    <row r="149" s="85">
      <c r="A149" s="27" t="n"/>
      <c r="B149" s="28" t="inlineStr">
        <is>
          <t>Intangible</t>
        </is>
      </c>
      <c r="C149" s="56" t="inlineStr">
        <is>
          <t>Brawl Handler</t>
        </is>
      </c>
      <c r="D149" s="63" t="inlineStr">
        <is>
          <t>Remove all your Clamps when you change the ball</t>
        </is>
      </c>
      <c r="E149" s="58" t="n"/>
      <c r="F149" s="61" t="n"/>
      <c r="G149" s="75" t="n"/>
      <c r="H149" s="76" t="n"/>
    </row>
    <row r="150" s="85">
      <c r="A150" s="27" t="n"/>
      <c r="B150" s="28" t="inlineStr">
        <is>
          <t>Intangible</t>
        </is>
      </c>
      <c r="C150" s="56" t="inlineStr">
        <is>
          <t>Baller</t>
        </is>
      </c>
      <c r="D150" s="63" t="inlineStr">
        <is>
          <t>Draw 1 card each time you change the ball</t>
        </is>
      </c>
      <c r="E150" s="58" t="n"/>
      <c r="F150" s="61" t="n"/>
      <c r="G150" s="75" t="n"/>
      <c r="H150" s="76" t="n"/>
    </row>
    <row r="151" ht="42" customHeight="1" s="85">
      <c r="A151" s="52" t="inlineStr">
        <is>
          <t>Varena</t>
        </is>
      </c>
      <c r="B151" s="53">
        <f>COUNTIF($B$152:$B$180,"Varena")</f>
        <v/>
      </c>
      <c r="C151" s="54" t="n"/>
      <c r="D151" s="54" t="n"/>
      <c r="E151" s="54" t="n"/>
      <c r="F151" s="55" t="n"/>
      <c r="G151" s="66" t="n"/>
      <c r="H151" s="67" t="n"/>
      <c r="I151" s="67" t="n"/>
      <c r="J151" s="67" t="n"/>
    </row>
    <row r="152" s="85">
      <c r="A152" s="27" t="n"/>
      <c r="B152" s="28" t="inlineStr">
        <is>
          <t>Varena</t>
        </is>
      </c>
      <c r="C152" s="56" t="inlineStr">
        <is>
          <t>Cardwood</t>
        </is>
      </c>
      <c r="D152" s="63" t="inlineStr">
        <is>
          <t>Changes the court back to basic</t>
        </is>
      </c>
      <c r="E152" s="58" t="n"/>
      <c r="F152" s="61" t="n">
        <v>5</v>
      </c>
      <c r="G152" s="75" t="inlineStr">
        <is>
          <t>Also the floor every game opens on, before anybody plays a Varena over it</t>
        </is>
      </c>
      <c r="H152" s="76" t="n"/>
      <c r="I152" s="76" t="n"/>
      <c r="J152" s="76" t="n"/>
    </row>
    <row r="153" s="85">
      <c r="A153" s="27" t="n"/>
      <c r="B153" s="28" t="inlineStr">
        <is>
          <t>Varena</t>
        </is>
      </c>
      <c r="C153" s="56" t="inlineStr">
        <is>
          <t>Prime Parquet</t>
        </is>
      </c>
      <c r="D153" s="63" t="inlineStr">
        <is>
          <t>SHOT +20%</t>
        </is>
      </c>
      <c r="E153" s="58" t="n"/>
      <c r="F153" s="61" t="n">
        <v>3</v>
      </c>
      <c r="G153" s="75" t="n"/>
      <c r="H153" s="76" t="n"/>
      <c r="I153" s="76" t="n"/>
      <c r="J153" s="76" t="n"/>
    </row>
    <row r="154" s="85">
      <c r="A154" s="27" t="n"/>
      <c r="B154" s="28" t="inlineStr">
        <is>
          <t>Varena</t>
        </is>
      </c>
      <c r="C154" s="56" t="inlineStr">
        <is>
          <t>Lacktop</t>
        </is>
      </c>
      <c r="D154" s="63" t="inlineStr">
        <is>
          <t>SHOT -20%</t>
        </is>
      </c>
      <c r="E154" s="58" t="n"/>
      <c r="F154" s="61" t="n">
        <v>3</v>
      </c>
      <c r="G154" s="75" t="inlineStr">
        <is>
          <t>Always Prime Parquet's opposite</t>
        </is>
      </c>
      <c r="H154" s="76" t="n"/>
      <c r="I154" s="76" t="n"/>
      <c r="J154" s="76" t="n"/>
    </row>
    <row r="155" s="85">
      <c r="A155" s="27" t="n"/>
      <c r="B155" s="28" t="inlineStr">
        <is>
          <t>Varena</t>
        </is>
      </c>
      <c r="C155" s="56" t="inlineStr">
        <is>
          <t>Smacktop</t>
        </is>
      </c>
      <c r="D155" s="63" t="inlineStr">
        <is>
          <t>Clear All Whistles. Whistles Cannot Be Played. All Clamps are enhanced</t>
        </is>
      </c>
      <c r="E155" s="58" t="n"/>
      <c r="F155" s="61" t="n">
        <v>3</v>
      </c>
      <c r="G155" s="75" t="inlineStr">
        <is>
          <t>Enhanced: +10% more reduction, one more card discarded, one more card locked</t>
        </is>
      </c>
      <c r="H155" s="76" t="n"/>
      <c r="I155" s="76" t="n"/>
      <c r="J155" s="76" t="n"/>
    </row>
    <row r="156" s="85">
      <c r="A156" s="27" t="n"/>
      <c r="B156" s="28" t="inlineStr">
        <is>
          <t>Varena</t>
        </is>
      </c>
      <c r="C156" s="56" t="inlineStr">
        <is>
          <t>Boarder Court</t>
        </is>
      </c>
      <c r="D156" s="63" t="inlineStr">
        <is>
          <t>Off your own miss, your Rebound bid counts as one card more</t>
        </is>
      </c>
      <c r="E156" s="58" t="n"/>
      <c r="F156" s="61" t="n">
        <v>1</v>
      </c>
      <c r="G156" s="75" t="inlineStr">
        <is>
          <t>Still needs a bid of at least one</t>
        </is>
      </c>
      <c r="H156" s="76" t="n"/>
      <c r="I156" s="76" t="n"/>
      <c r="J156" s="76" t="n"/>
    </row>
    <row r="157" s="85">
      <c r="A157" s="27" t="n"/>
      <c r="B157" s="28" t="inlineStr">
        <is>
          <t>Varena</t>
        </is>
      </c>
      <c r="C157" s="56" t="inlineStr">
        <is>
          <t>Dim Dome</t>
        </is>
      </c>
      <c r="D157" s="63" t="inlineStr">
        <is>
          <t>SHOT is hidden from everyone but the ball holder</t>
        </is>
      </c>
      <c r="E157" s="58" t="n"/>
      <c r="F157" s="61" t="n">
        <v>1</v>
      </c>
      <c r="G157" s="75" t="inlineStr">
        <is>
          <t>On a table, flip the % device face down</t>
        </is>
      </c>
      <c r="H157" s="76" t="n"/>
      <c r="I157" s="76" t="n"/>
      <c r="J157" s="76" t="n"/>
    </row>
    <row r="158" s="85">
      <c r="A158" s="27" t="n"/>
      <c r="B158" s="28" t="inlineStr">
        <is>
          <t>Varena</t>
        </is>
      </c>
      <c r="C158" s="56" t="inlineStr">
        <is>
          <t>Tri-hard Tiling</t>
        </is>
      </c>
      <c r="D158" s="63" t="inlineStr">
        <is>
          <t>Hand limit 3</t>
        </is>
      </c>
      <c r="E158" s="58" t="n"/>
      <c r="F158" s="61" t="n">
        <v>3</v>
      </c>
      <c r="G158" s="75" t="inlineStr">
        <is>
          <t>Hands over 3 are cut to 3 when it lands (owner picks). A draw into a hand of 3 is discarded</t>
        </is>
      </c>
      <c r="H158" s="76" t="n"/>
      <c r="I158" s="76" t="n"/>
      <c r="J158" s="76" t="n"/>
    </row>
    <row r="159" s="85">
      <c r="A159" s="27" t="n"/>
      <c r="B159" s="28" t="inlineStr">
        <is>
          <t>Varena</t>
        </is>
      </c>
      <c r="C159" s="56" t="inlineStr">
        <is>
          <t>Policeum</t>
        </is>
      </c>
      <c r="D159" s="63" t="inlineStr">
        <is>
          <t>Referees do not leave once triggered</t>
        </is>
      </c>
      <c r="E159" s="58" t="n"/>
      <c r="F159" s="61" t="n">
        <v>3</v>
      </c>
      <c r="G159" s="75" t="inlineStr">
        <is>
          <t>A called referee stays until the floor changes. The 3-ref cap bounds it</t>
        </is>
      </c>
      <c r="H159" s="76" t="n"/>
      <c r="I159" s="76" t="n"/>
      <c r="J159" s="76" t="n"/>
    </row>
    <row r="160" s="85">
      <c r="A160" s="27" t="n"/>
      <c r="B160" s="28" t="inlineStr">
        <is>
          <t>Varena</t>
        </is>
      </c>
      <c r="C160" s="56" t="inlineStr">
        <is>
          <t>Kiddie Court</t>
        </is>
      </c>
      <c r="D160" s="63" t="inlineStr">
        <is>
          <t>SHOT +10%. Dunks +10%. Three-point shots cannot be attempted.</t>
        </is>
      </c>
      <c r="E160" s="58" t="n"/>
      <c r="F160" s="61" t="n">
        <v>3</v>
      </c>
      <c r="G160" s="75" t="inlineStr">
        <is>
          <t>Shuts off every card that makes a three (Kick-Out)</t>
        </is>
      </c>
      <c r="H160" s="76" t="n"/>
      <c r="I160" s="76" t="n"/>
      <c r="J160" s="76" t="n"/>
    </row>
    <row r="161" s="85">
      <c r="A161" s="27" t="n"/>
      <c r="B161" s="28" t="inlineStr">
        <is>
          <t>Varena</t>
        </is>
      </c>
      <c r="C161" s="56" t="inlineStr">
        <is>
          <t>Recharging Resin</t>
        </is>
      </c>
      <c r="D161" s="63" t="inlineStr">
        <is>
          <t>Everyone refills to a hand of 5 at the start of their possession</t>
        </is>
      </c>
      <c r="E161" s="58" t="n"/>
      <c r="F161" s="61" t="n">
        <v>3</v>
      </c>
      <c r="G161" s="75" t="inlineStr">
        <is>
          <t>After the draw for turn</t>
        </is>
      </c>
      <c r="H161" s="76" t="n"/>
      <c r="I161" s="76" t="n"/>
      <c r="J161" s="76" t="n"/>
    </row>
    <row r="162" s="85">
      <c r="A162" s="27" t="n"/>
      <c r="B162" s="28" t="inlineStr">
        <is>
          <t>Varena</t>
        </is>
      </c>
      <c r="C162" s="56" t="inlineStr">
        <is>
          <t>Contact Court</t>
        </is>
      </c>
      <c r="D162" s="63" t="inlineStr">
        <is>
          <t>Being clamped: take 1 FT. The Clamp still lands</t>
        </is>
      </c>
      <c r="E162" s="58" t="n"/>
      <c r="F162" s="61" t="n">
        <v>3</v>
      </c>
      <c r="G162" s="75" t="inlineStr">
        <is>
          <t>One free throw however many Clamps land</t>
        </is>
      </c>
      <c r="H162" s="76" t="n"/>
      <c r="I162" s="76" t="n"/>
      <c r="J162" s="76" t="n"/>
    </row>
    <row r="163" s="85">
      <c r="A163" s="27" t="n"/>
      <c r="B163" s="28" t="inlineStr">
        <is>
          <t>Varena</t>
        </is>
      </c>
      <c r="C163" s="56" t="inlineStr">
        <is>
          <t>MVPiquia</t>
        </is>
      </c>
      <c r="D163" s="63" t="inlineStr">
        <is>
          <t>The highest scorer refills to 5 at the start of their possession</t>
        </is>
      </c>
      <c r="E163" s="58" t="n"/>
      <c r="F163" s="61" t="n">
        <v>1</v>
      </c>
      <c r="G163" s="75" t="inlineStr">
        <is>
          <t>A tie for the lead counts</t>
        </is>
      </c>
      <c r="H163" s="76" t="n"/>
      <c r="I163" s="76" t="n"/>
      <c r="J163" s="76" t="n"/>
    </row>
    <row r="164" s="85">
      <c r="A164" s="27" t="n"/>
      <c r="B164" s="28" t="inlineStr">
        <is>
          <t>Varena</t>
        </is>
      </c>
      <c r="C164" s="56" t="inlineStr">
        <is>
          <t>Polypaypylene</t>
        </is>
      </c>
      <c r="D164" s="63" t="inlineStr">
        <is>
          <t>Making a shot: Draw 3</t>
        </is>
      </c>
      <c r="E164" s="58" t="n"/>
      <c r="F164" s="61" t="n">
        <v>1</v>
      </c>
      <c r="G164" s="75" t="n"/>
      <c r="H164" s="76" t="n"/>
      <c r="I164" s="76" t="n"/>
      <c r="J164" s="76" t="n"/>
    </row>
    <row r="165" s="85">
      <c r="A165" s="27" t="n"/>
      <c r="B165" s="28" t="inlineStr">
        <is>
          <t>Varena</t>
        </is>
      </c>
      <c r="C165" s="56" t="inlineStr">
        <is>
          <t>Recoverena</t>
        </is>
      </c>
      <c r="D165" s="63" t="inlineStr">
        <is>
          <t>Discard all Injuries. A new Injury is discarded, and that player draws 1</t>
        </is>
      </c>
      <c r="E165" s="58" t="n"/>
      <c r="F165" s="61" t="n">
        <v>3</v>
      </c>
      <c r="G165" s="75" t="inlineStr">
        <is>
          <t>Every player's Injuries go when it lands</t>
        </is>
      </c>
      <c r="H165" s="76" t="n"/>
      <c r="I165" s="76" t="n"/>
      <c r="J165" s="76" t="n"/>
    </row>
    <row r="166" s="85">
      <c r="A166" s="27" t="n"/>
      <c r="B166" s="28" t="inlineStr">
        <is>
          <t>Varena</t>
        </is>
      </c>
      <c r="C166" s="56" t="inlineStr">
        <is>
          <t>Carousel Court</t>
        </is>
      </c>
      <c r="D166" s="63" t="inlineStr">
        <is>
          <t>Declare left or right. Every possession, hands move one seat that way</t>
        </is>
      </c>
      <c r="E166" s="58" t="n"/>
      <c r="F166" s="61" t="n">
        <v>1</v>
      </c>
      <c r="G166" s="75" t="inlineStr">
        <is>
          <t>Declared by whoever plays it</t>
        </is>
      </c>
      <c r="H166" s="76" t="n"/>
      <c r="I166" s="76" t="n"/>
      <c r="J166" s="76" t="n"/>
    </row>
    <row r="167" s="85">
      <c r="A167" s="27" t="n"/>
      <c r="B167" s="28" t="inlineStr">
        <is>
          <t>Varena</t>
        </is>
      </c>
      <c r="C167" s="56" t="inlineStr">
        <is>
          <t>Traderous Tarmac</t>
        </is>
      </c>
      <c r="D167" s="63" t="inlineStr">
        <is>
          <t>During your turn, hand off any number of the Clamps on you to other players</t>
        </is>
      </c>
      <c r="E167" s="58" t="n"/>
      <c r="F167" s="61" t="n">
        <v>1</v>
      </c>
      <c r="G167" s="75" t="inlineStr">
        <is>
          <t>The player assigns each Clamp: all to one player, one each, or any split</t>
        </is>
      </c>
      <c r="H167" s="76" t="n"/>
      <c r="I167" s="76" t="n"/>
      <c r="J167" s="76" t="n"/>
    </row>
    <row r="168" s="85">
      <c r="A168" s="27" t="n"/>
      <c r="B168" s="28" t="inlineStr">
        <is>
          <t>Varena</t>
        </is>
      </c>
      <c r="C168" s="56" t="inlineStr">
        <is>
          <t>Clearcoat Court</t>
        </is>
      </c>
      <c r="D168" s="63" t="inlineStr">
        <is>
          <t>Every possession: clear all referees, Clamps, Injuries and Intangibles</t>
        </is>
      </c>
      <c r="E168" s="58" t="n"/>
      <c r="F168" s="61" t="n">
        <v>3</v>
      </c>
      <c r="G168" s="75" t="inlineStr">
        <is>
          <t>Standing Clamps only; Clamps still in the air land after the wipe</t>
        </is>
      </c>
      <c r="H168" s="76" t="n"/>
      <c r="I168" s="76" t="n"/>
      <c r="J168" s="76" t="n"/>
    </row>
    <row r="169" s="85">
      <c r="A169" s="27" t="n"/>
      <c r="B169" s="28" t="inlineStr">
        <is>
          <t>Varena</t>
        </is>
      </c>
      <c r="C169" s="56" t="inlineStr">
        <is>
          <t>Malice Palace</t>
        </is>
      </c>
      <c r="D169" s="63" t="inlineStr">
        <is>
          <t>At the start of your possession, before your draw: discard your hand</t>
        </is>
      </c>
      <c r="E169" s="58" t="n"/>
      <c r="F169" s="61" t="n">
        <v>1</v>
      </c>
      <c r="G169" s="75" t="n"/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Turnstile Tile</t>
        </is>
      </c>
      <c r="D170" s="63" t="inlineStr">
        <is>
          <t>Upright: SHOT +25%
Reversed: SHOT -25%
Turn this card at the start of each possession</t>
        </is>
      </c>
      <c r="E170" s="58" t="n"/>
      <c r="F170" s="61" t="n">
        <v>3</v>
      </c>
      <c r="G170" s="75" t="inlineStr">
        <is>
          <t>+25% the possession it lands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Roleplayer Polymer</t>
        </is>
      </c>
      <c r="D171" s="63" t="inlineStr">
        <is>
          <t>Every possession, everyone but the turn player draws 1</t>
        </is>
      </c>
      <c r="E171" s="58" t="n"/>
      <c r="F171" s="61" t="n">
        <v>2</v>
      </c>
      <c r="G171" s="75" t="n"/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Variaball Vinyl</t>
        </is>
      </c>
      <c r="D172" s="63" t="inlineStr">
        <is>
          <t>The draw for turn goes to a random player each possession</t>
        </is>
      </c>
      <c r="E172" s="58" t="n"/>
      <c r="F172" s="61" t="n">
        <v>1</v>
      </c>
      <c r="G172" s="75" t="inlineStr">
        <is>
          <t>Can be the turn player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Gravi-Gym</t>
        </is>
      </c>
      <c r="D173" s="63" t="inlineStr">
        <is>
          <t>SHOT -10%. No dunks</t>
        </is>
      </c>
      <c r="E173" s="58" t="n"/>
      <c r="F173" s="61" t="n">
        <v>3</v>
      </c>
      <c r="G173" s="75" t="inlineStr">
        <is>
          <t>Cards that dunk cannot be played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Vintage Varnish</t>
        </is>
      </c>
      <c r="D174" s="63" t="inlineStr">
        <is>
          <t>Shot Clock 14. No threes. No Variaballs. 1 Intangible per player</t>
        </is>
      </c>
      <c r="E174" s="58" t="n"/>
      <c r="F174" s="61" t="n">
        <v>3</v>
      </c>
      <c r="G174" s="75" t="inlineStr">
        <is>
          <t>Discards the ball in play when it lands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S.O.S — Sell-Out Stadium</t>
        </is>
      </c>
      <c r="D175" s="63" t="inlineStr">
        <is>
          <t>A Three may be attempted as a two at 2X SHOT</t>
        </is>
      </c>
      <c r="E175" s="58" t="n"/>
      <c r="F175" s="61" t="n">
        <v>3</v>
      </c>
      <c r="G175" s="75" t="inlineStr">
        <is>
          <t>Keeps every other printed effect</t>
        </is>
      </c>
      <c r="H175" s="76" t="n"/>
      <c r="I175" s="76" t="n"/>
      <c r="J175" s="76" t="n"/>
    </row>
    <row r="176" s="85">
      <c r="A176" s="27" t="n"/>
      <c r="B176" s="28" t="inlineStr">
        <is>
          <t>Varena</t>
        </is>
      </c>
      <c r="C176" s="56" t="inlineStr">
        <is>
          <t>Grayvstone</t>
        </is>
      </c>
      <c r="D176" s="63" t="inlineStr">
        <is>
          <t>Each possession, the ball becomes the last Variaball in the discards</t>
        </is>
      </c>
      <c r="E176" s="58" t="n"/>
      <c r="F176" s="61" t="n">
        <v>1</v>
      </c>
      <c r="G176" s="75" t="inlineStr">
        <is>
          <t>With none there, nothing happens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Con-crete</t>
        </is>
      </c>
      <c r="D177" s="63" t="inlineStr">
        <is>
          <t>Move cards: SHOT -10%</t>
        </is>
      </c>
      <c r="E177" s="58" t="n"/>
      <c r="F177" s="61" t="n">
        <v>3</v>
      </c>
      <c r="G177" s="75" t="n"/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Spazzphalt</t>
        </is>
      </c>
      <c r="D178" s="63" t="inlineStr">
        <is>
          <t>SHOT = ?</t>
        </is>
      </c>
      <c r="E178" s="58" t="n"/>
      <c r="F178" s="61" t="n">
        <v>3</v>
      </c>
      <c r="G178" s="75" t="inlineStr">
        <is>
          <t>A random 0–100%, in steps of 5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Frostbite Finish</t>
        </is>
      </c>
      <c r="D179" s="63" t="inlineStr">
        <is>
          <t>Playing a Move costs discarding 1 other card</t>
        </is>
      </c>
      <c r="E179" s="58" t="n"/>
      <c r="F179" s="61" t="n">
        <v>2</v>
      </c>
      <c r="G179" s="75" t="inlineStr">
        <is>
          <t>The owner picks the card. A Move that is your whole hand can't be played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Tick-Tock Tile</t>
        </is>
      </c>
      <c r="D180" s="63" t="inlineStr">
        <is>
          <t>Playing any card also ticks the Shot Clock</t>
        </is>
      </c>
      <c r="E180" s="58" t="n"/>
      <c r="F180" s="61" t="n">
        <v>3</v>
      </c>
      <c r="G180" s="75" t="inlineStr">
        <is>
          <t>The tick is paid after the card resolves, so a shot at 01 still goes up</t>
        </is>
      </c>
      <c r="H180" s="76" t="n"/>
      <c r="I180" s="76" t="n"/>
      <c r="J180" s="76" t="n"/>
    </row>
    <row r="181" ht="42" customHeight="1" s="85">
      <c r="A181" s="52" t="inlineStr">
        <is>
          <t>Variaball</t>
        </is>
      </c>
      <c r="B181" s="53">
        <f>COUNTIF($B$182:$B$197,"Variaball")</f>
        <v/>
      </c>
      <c r="C181" s="54" t="n"/>
      <c r="D181" s="54" t="n"/>
      <c r="E181" s="54" t="n"/>
      <c r="F181" s="55" t="n"/>
      <c r="G181" s="66" t="n"/>
      <c r="H181" s="67" t="n"/>
      <c r="I181" s="67" t="n"/>
      <c r="J181" s="67" t="n"/>
    </row>
    <row r="182" s="85">
      <c r="A182" s="27" t="n"/>
      <c r="B182" s="28" t="inlineStr">
        <is>
          <t>Variaball</t>
        </is>
      </c>
      <c r="C182" s="56" t="inlineStr">
        <is>
          <t>Med Ball</t>
        </is>
      </c>
      <c r="D182" s="63" t="inlineStr">
        <is>
          <t>SHOT cannot exceed 50%</t>
        </is>
      </c>
      <c r="E182" s="58" t="n"/>
      <c r="F182" s="61" t="n">
        <v>2</v>
      </c>
      <c r="G182" s="75" t="inlineStr">
        <is>
          <t>An Intangible's or a Varena's SHOT = is not held to it</t>
        </is>
      </c>
      <c r="H182" s="76" t="n"/>
      <c r="I182" s="76" t="n"/>
      <c r="J182" s="76" t="n"/>
    </row>
    <row r="183" s="85">
      <c r="A183" s="27" t="n"/>
      <c r="B183" s="28" t="inlineStr">
        <is>
          <t>Variaball</t>
        </is>
      </c>
      <c r="C183" s="56" t="inlineStr">
        <is>
          <t>Dishcount Ball</t>
        </is>
      </c>
      <c r="D183" s="63" t="inlineStr">
        <is>
          <t>Discard one fewer for card costs and Clamps</t>
        </is>
      </c>
      <c r="E183" s="58" t="n"/>
      <c r="F183" s="61" t="n">
        <v>2</v>
      </c>
      <c r="G183" s="75" t="inlineStr">
        <is>
          <t>Counts: Clamps, Pound Dribble, Frostbite Finish, Stepback, Turnaround Three</t>
        </is>
      </c>
      <c r="H183" s="76" t="n"/>
      <c r="I183" s="76" t="n"/>
      <c r="J183" s="76" t="n"/>
    </row>
    <row r="184" s="85">
      <c r="A184" s="27" t="n"/>
      <c r="B184" s="28" t="inlineStr">
        <is>
          <t>Variaball</t>
        </is>
      </c>
      <c r="C184" s="56" t="inlineStr">
        <is>
          <t>Blight Ball</t>
        </is>
      </c>
      <c r="D184" s="63" t="inlineStr">
        <is>
          <t>Injuries travel with the ball, and new ones join the pile. Discarding the ball takes the pile with it</t>
        </is>
      </c>
      <c r="E184" s="58" t="n"/>
      <c r="F184" s="61" t="n">
        <v>3</v>
      </c>
      <c r="G184" s="75" t="inlineStr">
        <is>
          <t>Moves on any change of hands</t>
        </is>
      </c>
      <c r="H184" s="76" t="n"/>
      <c r="I184" s="76" t="n"/>
      <c r="J184" s="76" t="n"/>
    </row>
    <row r="185" s="85">
      <c r="A185" s="27" t="n"/>
      <c r="B185" s="28" t="inlineStr">
        <is>
          <t>Variaball</t>
        </is>
      </c>
      <c r="C185" s="56" t="inlineStr">
        <is>
          <t>Bench Ball</t>
        </is>
      </c>
      <c r="D185" s="63" t="inlineStr">
        <is>
          <t>Receiving it by Pass: no draw, no turn. You inbound</t>
        </is>
      </c>
      <c r="E185" s="58" t="n"/>
      <c r="F185" s="61" t="n">
        <v>1</v>
      </c>
      <c r="G185" s="75" t="n"/>
      <c r="H185" s="76" t="n"/>
      <c r="I185" s="76" t="n"/>
      <c r="J185" s="76" t="n"/>
    </row>
    <row r="186" s="85">
      <c r="A186" s="27" t="n"/>
      <c r="B186" s="28" t="inlineStr">
        <is>
          <t>Variaball</t>
        </is>
      </c>
      <c r="C186" s="56" t="inlineStr">
        <is>
          <t>Dishtracting Ball</t>
        </is>
      </c>
      <c r="D186" s="63" t="inlineStr">
        <is>
          <t>Receiving it: discard 1, after the draw for turn</t>
        </is>
      </c>
      <c r="E186" s="58" t="n"/>
      <c r="F186" s="61" t="n">
        <v>2</v>
      </c>
      <c r="G186" s="75" t="inlineStr">
        <is>
          <t>Any change of hands</t>
        </is>
      </c>
      <c r="H186" s="76" t="n"/>
      <c r="I186" s="76" t="n"/>
      <c r="J186" s="76" t="n"/>
    </row>
    <row r="187" s="85">
      <c r="A187" s="27" t="n"/>
      <c r="B187" s="28" t="inlineStr">
        <is>
          <t>Variaball</t>
        </is>
      </c>
      <c r="C187" s="56" t="inlineStr">
        <is>
          <t>Hand Ball</t>
        </is>
      </c>
      <c r="D187" s="63" t="inlineStr">
        <is>
          <t>A Pass swaps hands: yours goes with the ball, theirs comes back</t>
        </is>
      </c>
      <c r="E187" s="58" t="n"/>
      <c r="F187" s="61" t="n">
        <v>1</v>
      </c>
      <c r="G187" s="75" t="n"/>
      <c r="H187" s="76" t="n"/>
      <c r="I187" s="76" t="n"/>
      <c r="J187" s="76" t="n"/>
    </row>
    <row r="188" s="85">
      <c r="A188" s="27" t="n"/>
      <c r="B188" s="28" t="inlineStr">
        <is>
          <t>Variaball</t>
        </is>
      </c>
      <c r="C188" s="56" t="inlineStr">
        <is>
          <t>Foot Ball</t>
        </is>
      </c>
      <c r="D188" s="63" t="inlineStr">
        <is>
          <t>Moves and Passes are not spent. They lock until your possession ends</t>
        </is>
      </c>
      <c r="E188" s="58" t="n"/>
      <c r="F188" s="61" t="n">
        <v>1</v>
      </c>
      <c r="G188" s="75" t="n"/>
      <c r="H188" s="76" t="n"/>
      <c r="I188" s="76" t="n"/>
      <c r="J188" s="76" t="n"/>
    </row>
    <row r="189" s="85">
      <c r="A189" s="27" t="n"/>
      <c r="B189" s="28" t="inlineStr">
        <is>
          <t>Variaball</t>
        </is>
      </c>
      <c r="C189" s="56" t="inlineStr">
        <is>
          <t>Recharge Rock</t>
        </is>
      </c>
      <c r="D189" s="63" t="inlineStr">
        <is>
          <t>Double your draw for turn</t>
        </is>
      </c>
      <c r="E189" s="58" t="n"/>
      <c r="F189" s="61" t="n">
        <v>5</v>
      </c>
      <c r="G189" s="75" t="n"/>
      <c r="H189" s="76" t="n"/>
      <c r="I189" s="76" t="n"/>
      <c r="J189" s="76" t="n"/>
    </row>
    <row r="190" s="85">
      <c r="A190" s="27" t="n"/>
      <c r="B190" s="28" t="inlineStr">
        <is>
          <t>Variaball</t>
        </is>
      </c>
      <c r="C190" s="56" t="inlineStr">
        <is>
          <t>Variaball</t>
        </is>
      </c>
      <c r="D190" s="63" t="inlineStr">
        <is>
          <t>A random Variaball from the discards goes into play. Then discard this</t>
        </is>
      </c>
      <c r="E190" s="58" t="n"/>
      <c r="F190" s="61" t="n">
        <v>1</v>
      </c>
      <c r="G190" s="75" t="inlineStr">
        <is>
          <t>From the deck if the discards have none; never the ball already in play</t>
        </is>
      </c>
      <c r="H190" s="76" t="n"/>
      <c r="I190" s="76" t="n"/>
      <c r="J190" s="76" t="n"/>
    </row>
    <row r="191" s="85">
      <c r="A191" s="27" t="n"/>
      <c r="B191" s="28" t="inlineStr">
        <is>
          <t>Variaball</t>
        </is>
      </c>
      <c r="C191" s="56" t="inlineStr">
        <is>
          <t>Shufflebag Ball</t>
        </is>
      </c>
      <c r="D191" s="63" t="inlineStr">
        <is>
          <t>Every possession, the turn player shuffles their hand into the deck and draws the same number, then draws for turn</t>
        </is>
      </c>
      <c r="E191" s="58" t="n"/>
      <c r="F191" s="61" t="n">
        <v>1</v>
      </c>
      <c r="G191" s="75" t="n"/>
      <c r="H191" s="76" t="n"/>
      <c r="I191" s="76" t="n"/>
      <c r="J191" s="76" t="n"/>
    </row>
    <row r="192" s="85">
      <c r="A192" s="27" t="n"/>
      <c r="B192" s="28" t="inlineStr">
        <is>
          <t>Variaball</t>
        </is>
      </c>
      <c r="C192" s="56" t="inlineStr">
        <is>
          <t>Bag'n Ball</t>
        </is>
      </c>
      <c r="D192" s="63" t="inlineStr">
        <is>
          <t>Draw 1 card when played. SHOT = 10% for each card in your hand</t>
        </is>
      </c>
      <c r="E192" s="58" t="n"/>
      <c r="F192" s="61" t="n">
        <v>1</v>
      </c>
      <c r="G192" s="75" t="n"/>
      <c r="H192" s="76" t="n"/>
      <c r="I192" s="76" t="n"/>
      <c r="J192" s="76" t="n"/>
    </row>
    <row r="193" s="85">
      <c r="A193" s="27" t="n"/>
      <c r="B193" s="28" t="inlineStr">
        <is>
          <t>Variaball</t>
        </is>
      </c>
      <c r="C193" s="56" t="inlineStr">
        <is>
          <t>Blaze Ball</t>
        </is>
      </c>
      <c r="D193" s="63" t="inlineStr">
        <is>
          <t>SHOT +10% as this Ball is Passed</t>
        </is>
      </c>
      <c r="E193" s="58" t="n"/>
      <c r="F193" s="61" t="n">
        <v>5</v>
      </c>
      <c r="G193" s="75" t="inlineStr">
        <is>
          <t>Ignores every other pass modifier</t>
        </is>
      </c>
      <c r="H193" s="76" t="n"/>
      <c r="I193" s="76" t="n"/>
      <c r="J193" s="76" t="n"/>
    </row>
    <row r="194" s="85">
      <c r="A194" s="27" t="n"/>
      <c r="B194" s="28" t="inlineStr">
        <is>
          <t>Variaball</t>
        </is>
      </c>
      <c r="C194" s="56" t="inlineStr">
        <is>
          <t>Snow Ball It</t>
        </is>
      </c>
      <c r="D194" s="63" t="inlineStr">
        <is>
          <t>SHOT -10% as this Ball is Passed</t>
        </is>
      </c>
      <c r="E194" s="58" t="n"/>
      <c r="F194" s="61" t="n">
        <v>5</v>
      </c>
      <c r="G194" s="75" t="inlineStr">
        <is>
          <t>Blaze Ball's opposite</t>
        </is>
      </c>
      <c r="H194" s="76" t="n"/>
      <c r="I194" s="76" t="n"/>
      <c r="J194" s="76" t="n"/>
    </row>
    <row r="195" s="85">
      <c r="A195" s="27" t="n"/>
      <c r="B195" s="28" t="inlineStr">
        <is>
          <t>Variaball</t>
        </is>
      </c>
      <c r="C195" s="56" t="inlineStr">
        <is>
          <t>Brick Ball</t>
        </is>
      </c>
      <c r="D195" s="63" t="inlineStr">
        <is>
          <t>SHOT = 25%</t>
        </is>
      </c>
      <c r="E195" s="58" t="n"/>
      <c r="F195" s="61" t="n">
        <v>2</v>
      </c>
      <c r="G195" s="75" t="n"/>
      <c r="H195" s="76" t="n"/>
      <c r="I195" s="76" t="n"/>
      <c r="J195" s="76" t="n"/>
    </row>
    <row r="196" s="85">
      <c r="A196" s="27" t="n"/>
      <c r="B196" s="28" t="inlineStr">
        <is>
          <t>Variaball</t>
        </is>
      </c>
      <c r="C196" s="56" t="inlineStr">
        <is>
          <t>Monster Ball</t>
        </is>
      </c>
      <c r="D196" s="63" t="inlineStr">
        <is>
          <t>Intangibles are absorbed into the ball. When it's discarded, players rebound for them one at a time</t>
        </is>
      </c>
      <c r="E196" s="58" t="n"/>
      <c r="F196" s="61" t="n">
        <v>1</v>
      </c>
      <c r="G196" s="75" t="inlineStr">
        <is>
          <t>Swallows every Intangible already out and every one drawn while it's in play</t>
        </is>
      </c>
      <c r="H196" s="76" t="n"/>
      <c r="I196" s="76" t="n"/>
      <c r="J196" s="76" t="n"/>
    </row>
    <row r="197" s="85">
      <c r="A197" s="27" t="n"/>
      <c r="B197" s="28" t="inlineStr">
        <is>
          <t>Variaball</t>
        </is>
      </c>
      <c r="C197" s="56" t="inlineStr">
        <is>
          <t>Brand New Ball</t>
        </is>
      </c>
      <c r="D197" s="63" t="inlineStr">
        <is>
          <t>25% chance a shot attempt is a turnover instead</t>
        </is>
      </c>
      <c r="E197" s="58" t="n"/>
      <c r="F197" s="61" t="n">
        <v>3</v>
      </c>
      <c r="G197" s="75" t="inlineStr">
        <is>
          <t>The round ends</t>
        </is>
      </c>
      <c r="H197" s="76" t="n"/>
      <c r="I197" s="76" t="n"/>
      <c r="J197" s="76" t="n"/>
    </row>
  </sheetData>
  <mergeCells count="175">
    <mergeCell ref="G55:J55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46:J46"/>
    <mergeCell ref="G159:J159"/>
    <mergeCell ref="G40:J40"/>
    <mergeCell ref="G111:J111"/>
    <mergeCell ref="G72:J72"/>
    <mergeCell ref="G81:J81"/>
    <mergeCell ref="G161:J161"/>
    <mergeCell ref="G71:J71"/>
    <mergeCell ref="G136:J136"/>
    <mergeCell ref="G194:J194"/>
    <mergeCell ref="G181:J181"/>
    <mergeCell ref="G8:J8"/>
    <mergeCell ref="G160:J160"/>
    <mergeCell ref="G82:J82"/>
    <mergeCell ref="G174:J174"/>
    <mergeCell ref="G156:J156"/>
    <mergeCell ref="G57:J57"/>
    <mergeCell ref="G128:J128"/>
    <mergeCell ref="G10:J10"/>
    <mergeCell ref="G66:J66"/>
    <mergeCell ref="G184:J184"/>
    <mergeCell ref="G137:J137"/>
    <mergeCell ref="G18:J18"/>
    <mergeCell ref="G53:J53"/>
    <mergeCell ref="G171:J171"/>
    <mergeCell ref="G189:J189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63:J163"/>
    <mergeCell ref="G110:J110"/>
    <mergeCell ref="G168:J168"/>
    <mergeCell ref="G113:J113"/>
    <mergeCell ref="G20:J20"/>
    <mergeCell ref="G91:J91"/>
    <mergeCell ref="G85:J85"/>
    <mergeCell ref="G100:J100"/>
    <mergeCell ref="G183:J183"/>
    <mergeCell ref="G165:J165"/>
    <mergeCell ref="G75:J75"/>
    <mergeCell ref="G44:J44"/>
    <mergeCell ref="G193:J193"/>
    <mergeCell ref="G22:J22"/>
    <mergeCell ref="G84:J84"/>
    <mergeCell ref="G102:J102"/>
    <mergeCell ref="G158:J158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38:J38"/>
    <mergeCell ref="G7:J7"/>
    <mergeCell ref="G191:J191"/>
    <mergeCell ref="G112:J112"/>
    <mergeCell ref="G45:J45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104:J104"/>
    <mergeCell ref="G65:J65"/>
    <mergeCell ref="G88:J88"/>
    <mergeCell ref="G26:J26"/>
    <mergeCell ref="G154:J154"/>
    <mergeCell ref="G197:J197"/>
    <mergeCell ref="G35:J35"/>
    <mergeCell ref="G129:J129"/>
    <mergeCell ref="G138:J138"/>
    <mergeCell ref="G16:J16"/>
    <mergeCell ref="G76:J76"/>
    <mergeCell ref="G25:J25"/>
    <mergeCell ref="G90:J90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132:J132"/>
    <mergeCell ref="G39:J39"/>
    <mergeCell ref="G122:J122"/>
    <mergeCell ref="G166:J166"/>
    <mergeCell ref="G101:J101"/>
    <mergeCell ref="G116:J116"/>
    <mergeCell ref="G103:J103"/>
    <mergeCell ref="G37:J37"/>
    <mergeCell ref="G186:J186"/>
    <mergeCell ref="A4:B4"/>
    <mergeCell ref="G13:J13"/>
    <mergeCell ref="G78:J78"/>
    <mergeCell ref="G118:J118"/>
    <mergeCell ref="G87:J87"/>
    <mergeCell ref="G152:J152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53:J153"/>
    <mergeCell ref="G54:J54"/>
    <mergeCell ref="G63:J63"/>
    <mergeCell ref="G134:J134"/>
    <mergeCell ref="G41:J41"/>
    <mergeCell ref="G50:J50"/>
    <mergeCell ref="G106:J106"/>
    <mergeCell ref="G164:J164"/>
    <mergeCell ref="G173:J173"/>
    <mergeCell ref="G56:J56"/>
    <mergeCell ref="G105:J105"/>
    <mergeCell ref="G43:J43"/>
    <mergeCell ref="G52:J52"/>
    <mergeCell ref="G120:J120"/>
    <mergeCell ref="G155:J155"/>
    <mergeCell ref="G27:J27"/>
    <mergeCell ref="G36:J36"/>
    <mergeCell ref="G42:J42"/>
    <mergeCell ref="G107:J107"/>
    <mergeCell ref="G17:J17"/>
    <mergeCell ref="G170:J170"/>
    <mergeCell ref="G157:J157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124:J124"/>
    <mergeCell ref="G180:J180"/>
    <mergeCell ref="G5:J5"/>
    <mergeCell ref="G133:J133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2026-09-15T07:31:10Z</dcterms:modified>
  <cp:lastModifiedBy>Montre Smith</cp:lastModifiedBy>
</cp:coreProperties>
</file>