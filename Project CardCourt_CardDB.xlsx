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</borders>
  <cellStyleXfs count="1">
    <xf numFmtId="0" fontId="0" fillId="0" borderId="0" applyAlignment="1">
      <alignment vertical="top" wrapText="1"/>
    </xf>
  </cellStyleXfs>
  <cellXfs count="165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  <xf numFmtId="49" fontId="2" fillId="2" borderId="50" applyAlignment="1" pivotButton="0" quotePrefix="0" xfId="0">
      <alignment vertical="top" wrapText="1"/>
    </xf>
    <xf numFmtId="0" fontId="0" fillId="0" borderId="51" pivotButton="0" quotePrefix="0" xfId="0"/>
    <xf numFmtId="49" fontId="14" fillId="4" borderId="52" applyAlignment="1" pivotButton="0" quotePrefix="0" xfId="0">
      <alignment vertical="top"/>
    </xf>
    <xf numFmtId="0" fontId="5" fillId="4" borderId="52" applyAlignment="1" pivotButton="0" quotePrefix="0" xfId="0">
      <alignment horizontal="center" vertical="top"/>
    </xf>
    <xf numFmtId="0" fontId="2" fillId="4" borderId="52" applyAlignment="1" pivotButton="0" quotePrefix="0" xfId="0">
      <alignment vertical="top"/>
    </xf>
    <xf numFmtId="0" fontId="2" fillId="4" borderId="52" applyAlignment="1" pivotButton="0" quotePrefix="0" xfId="0">
      <alignment horizontal="center" vertical="top"/>
    </xf>
    <xf numFmtId="0" fontId="2" fillId="4" borderId="53" applyAlignment="1" pivotButton="0" quotePrefix="0" xfId="0">
      <alignment vertical="top"/>
    </xf>
    <xf numFmtId="0" fontId="0" fillId="0" borderId="54" pivotButton="0" quotePrefix="0" xfId="0"/>
    <xf numFmtId="0" fontId="0" fillId="6" borderId="55" applyAlignment="1" pivotButton="0" quotePrefix="0" xfId="0">
      <alignment vertical="top" wrapText="1"/>
    </xf>
    <xf numFmtId="0" fontId="0" fillId="0" borderId="56" pivotButton="0" quotePrefix="0" xfId="0"/>
    <xf numFmtId="49" fontId="0" fillId="0" borderId="11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55" applyAlignment="1" pivotButton="0" quotePrefix="0" xfId="0">
      <alignment vertical="top" wrapText="1"/>
    </xf>
    <xf numFmtId="0" fontId="15" fillId="0" borderId="55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43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49" fontId="0" fillId="0" borderId="55" applyAlignment="1" pivotButton="0" quotePrefix="0" xfId="0">
      <alignment vertical="top" wrapText="1"/>
    </xf>
    <xf numFmtId="0" fontId="15" fillId="0" borderId="11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6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COUNTIF($B$5:$B$136,"Pass")</f>
        <v/>
      </c>
      <c r="C2" s="13">
        <f>COUNTIF($B$5:$B$136,"Move")+COUNTIF($B$5:$B$136,"Special Move")</f>
        <v/>
      </c>
      <c r="D2" s="14">
        <f>COUNTIF($B$5:$B$136,"Clamp")</f>
        <v/>
      </c>
      <c r="E2" s="15">
        <f>COUNTIF($B$5:$B$136,"Whistle")</f>
        <v/>
      </c>
      <c r="F2" s="16">
        <f>COUNTIF($B$5:$B$136,"Game Break")</f>
        <v/>
      </c>
      <c r="G2" s="18">
        <f>COUNTIF($B$5:$B$136,"Injury GB")</f>
        <v/>
      </c>
      <c r="H2" s="19">
        <f>COUNTIF($B$5:$B$136,"Devastating Injury GB")</f>
        <v/>
      </c>
      <c r="I2" s="17">
        <f>COUNTIF($B$5:$B$136,"Intangible")</f>
        <v/>
      </c>
      <c r="J2" s="19" t="n"/>
    </row>
    <row r="4" ht="20.75" customHeight="1" s="132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42" t="inlineStr">
        <is>
          <t>Notes</t>
        </is>
      </c>
      <c r="H4" s="143" t="n"/>
      <c r="I4" s="143" t="n"/>
      <c r="J4" s="143" t="n"/>
    </row>
    <row r="5" ht="20" customHeight="1" s="132">
      <c r="A5" s="144" t="inlineStr">
        <is>
          <t>Pass</t>
        </is>
      </c>
      <c r="B5" s="145">
        <f>COUNTIF($B$6:$B$136,"Pass")</f>
        <v/>
      </c>
      <c r="C5" s="146" t="n"/>
      <c r="D5" s="146" t="n"/>
      <c r="E5" s="146" t="n"/>
      <c r="F5" s="147" t="n"/>
      <c r="G5" s="148" t="n"/>
      <c r="H5" s="149" t="n"/>
      <c r="I5" s="149" t="n"/>
      <c r="J5" s="149" t="n"/>
    </row>
    <row r="6" ht="56" customHeight="1" s="132">
      <c r="A6" s="29" t="n"/>
      <c r="B6" s="30" t="inlineStr">
        <is>
          <t>Pass</t>
        </is>
      </c>
      <c r="C6" s="32" t="inlineStr">
        <is>
          <t>Behind-the-Back</t>
        </is>
      </c>
      <c r="D6" s="33" t="inlineStr">
        <is>
          <t>Pass back to player who passed to you. If ball not received from a player, TOV +1</t>
        </is>
      </c>
      <c r="E6" s="34" t="n"/>
      <c r="F6" s="75" t="n">
        <v>5</v>
      </c>
      <c r="G6" s="107" t="n"/>
      <c r="H6" s="102" t="n"/>
      <c r="I6" s="102" t="n"/>
      <c r="J6" s="102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01" t="n"/>
      <c r="H7" s="102" t="n"/>
      <c r="I7" s="102" t="n"/>
      <c r="J7" s="102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>
        <v>6</v>
      </c>
      <c r="G8" s="107" t="n"/>
      <c r="H8" s="102" t="n"/>
      <c r="I8" s="102" t="n"/>
      <c r="J8" s="102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>
        <v>6</v>
      </c>
      <c r="G9" s="101" t="n"/>
      <c r="H9" s="102" t="n"/>
      <c r="I9" s="102" t="n"/>
      <c r="J9" s="102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7" t="n"/>
      <c r="H10" s="102" t="n"/>
      <c r="I10" s="102" t="n"/>
      <c r="J10" s="102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01" t="n"/>
      <c r="H11" s="102" t="n"/>
      <c r="I11" s="102" t="n"/>
      <c r="J11" s="102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7" t="n"/>
      <c r="H12" s="102" t="n"/>
      <c r="I12" s="102" t="n"/>
      <c r="J12" s="102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01" t="n"/>
      <c r="H13" s="102" t="n"/>
      <c r="I13" s="102" t="n"/>
      <c r="J13" s="102" t="n"/>
    </row>
    <row r="14" ht="29" customHeight="1" s="132">
      <c r="A14" s="29" t="n"/>
      <c r="B14" s="30" t="inlineStr">
        <is>
          <t>Pass</t>
        </is>
      </c>
      <c r="C14" s="32" t="inlineStr">
        <is>
          <t>Bullet Pass</t>
        </is>
      </c>
      <c r="D14" s="33" t="inlineStr">
        <is>
          <t>Pass to player of choice. SHOT +5%</t>
        </is>
      </c>
      <c r="E14" s="33" t="inlineStr">
        <is>
          <t>New players discards 1 card at random</t>
        </is>
      </c>
      <c r="F14" s="80" t="n">
        <v>12</v>
      </c>
      <c r="G14" s="107" t="n"/>
      <c r="H14" s="102" t="n"/>
      <c r="I14" s="102" t="n"/>
      <c r="J14" s="102" t="n"/>
    </row>
    <row r="15" ht="20" customHeight="1" s="132">
      <c r="A15" s="29" t="n"/>
      <c r="B15" s="30" t="inlineStr">
        <is>
          <t>Pass</t>
        </is>
      </c>
      <c r="C15" s="32" t="inlineStr">
        <is>
          <t>Alley-Oop</t>
        </is>
      </c>
      <c r="D15" s="33" t="inlineStr">
        <is>
          <t>SHOT +20%. Pass to player of choice</t>
        </is>
      </c>
      <c r="E15" s="33" t="inlineStr">
        <is>
          <t>Receiving player shoots immediately after drawing for turn</t>
        </is>
      </c>
      <c r="F15" s="80" t="n">
        <v>5</v>
      </c>
      <c r="G15" s="107" t="n"/>
      <c r="H15" s="102" t="n"/>
      <c r="I15" s="102" t="n"/>
      <c r="J15" s="102" t="n"/>
    </row>
    <row r="16" ht="14" customHeight="1" s="132">
      <c r="A16" s="29" t="n"/>
      <c r="B16" s="30" t="inlineStr">
        <is>
          <t>Pass</t>
        </is>
      </c>
      <c r="C16" s="32" t="inlineStr">
        <is>
          <t>Hand-Off</t>
        </is>
      </c>
      <c r="D16" s="33" t="inlineStr">
        <is>
          <t>SHOT +5%. Pass to player to Left or Right. Draw 1 card</t>
        </is>
      </c>
      <c r="E16" s="33" t="inlineStr">
        <is>
          <t>If played following a Dribble: draw 1 additional and SHOT +5% more</t>
        </is>
      </c>
      <c r="F16" s="80" t="n">
        <v>10</v>
      </c>
      <c r="G16" s="107" t="inlineStr">
        <is>
          <t>This is the Dribble Hand-Off</t>
        </is>
      </c>
      <c r="H16" s="102" t="n"/>
      <c r="I16" s="102" t="n"/>
      <c r="J16" s="102" t="n"/>
    </row>
    <row r="17" ht="28" customHeight="1" s="132">
      <c r="A17" s="29" t="n"/>
      <c r="B17" s="30" t="inlineStr">
        <is>
          <t>Pass</t>
        </is>
      </c>
      <c r="C17" s="32" t="inlineStr">
        <is>
          <t>Outlet Pass</t>
        </is>
      </c>
      <c r="D17" s="33" t="inlineStr">
        <is>
          <t>SHOT +10%. Shot Clock +01. Pass to player of choice</t>
        </is>
      </c>
      <c r="E17" s="33" t="n"/>
      <c r="F17" s="80" t="n">
        <v>3</v>
      </c>
      <c r="G17" s="107" t="inlineStr">
        <is>
          <t>The clock increments instead of decrementing — it does not break even</t>
        </is>
      </c>
      <c r="H17" s="102" t="n"/>
      <c r="I17" s="102" t="n"/>
      <c r="J17" s="102" t="n"/>
    </row>
    <row r="18" ht="28" customHeight="1" s="132">
      <c r="A18" s="29" t="n"/>
      <c r="B18" s="30" t="inlineStr">
        <is>
          <t>Pass</t>
        </is>
      </c>
      <c r="C18" s="32" t="inlineStr">
        <is>
          <t>Kick-Out</t>
        </is>
      </c>
      <c r="D18" s="33" t="inlineStr">
        <is>
          <t>SHOT +10%. Upgraded to 3pt. Pass to player of choice</t>
        </is>
      </c>
      <c r="E18" s="33" t="inlineStr">
        <is>
          <t>Following Drive: draw 1. Following a Dribble Drive: gain 1 AST also</t>
        </is>
      </c>
      <c r="F18" s="80" t="n">
        <v>3</v>
      </c>
      <c r="G18" s="107" t="inlineStr">
        <is>
          <t>The most it grants is a draw and 1 AST</t>
        </is>
      </c>
      <c r="H18" s="102" t="n"/>
      <c r="I18" s="102" t="n"/>
      <c r="J18" s="102" t="n"/>
    </row>
    <row r="19" ht="56" customHeight="1" s="132">
      <c r="A19" s="29" t="n"/>
      <c r="B19" s="30" t="inlineStr">
        <is>
          <t>Pass</t>
        </is>
      </c>
      <c r="C19" s="32" t="inlineStr">
        <is>
          <t>Right Back</t>
        </is>
      </c>
      <c r="D19" s="33" t="inlineStr">
        <is>
          <t>SHOT +5%. Pass to player of choice. They immediately pass it back</t>
        </is>
      </c>
      <c r="E19" s="33" t="n"/>
      <c r="F19" s="80" t="n">
        <v>7</v>
      </c>
      <c r="G19" s="107" t="inlineStr">
        <is>
          <t>Results in a draw for each player and SHOT +10% overall. Whatever the trip costs them happens in between</t>
        </is>
      </c>
      <c r="H19" s="102" t="n"/>
      <c r="I19" s="102" t="n"/>
      <c r="J19" s="102" t="n"/>
    </row>
    <row r="20" ht="56" customHeight="1" s="132">
      <c r="A20" s="35" t="n"/>
      <c r="B20" s="36" t="inlineStr">
        <is>
          <t>Pass</t>
        </is>
      </c>
      <c r="C20" s="37" t="inlineStr">
        <is>
          <t>Touch Pass</t>
        </is>
      </c>
      <c r="D20" s="38" t="inlineStr">
        <is>
          <t>SHOT +5%. Pass to player of choice. If played as first action, draw 2 cards</t>
        </is>
      </c>
      <c r="E20" s="38" t="n"/>
      <c r="F20" s="77" t="n">
        <v>5</v>
      </c>
      <c r="G20" s="150" t="n"/>
      <c r="H20" s="151" t="n"/>
      <c r="I20" s="151" t="n"/>
      <c r="J20" s="151" t="n"/>
    </row>
    <row r="21" ht="14" customHeight="1" s="132">
      <c r="A21" s="144" t="inlineStr">
        <is>
          <t>Move</t>
        </is>
      </c>
      <c r="B21" s="145">
        <f>COUNTIF($B$22:$B$136,"Move")+COUNTIF($B$22:$B$136,"Special Move")</f>
        <v/>
      </c>
      <c r="C21" s="146" t="n"/>
      <c r="D21" s="146" t="n"/>
      <c r="E21" s="146" t="n"/>
      <c r="F21" s="147" t="n"/>
      <c r="G21" s="148" t="n"/>
      <c r="H21" s="149" t="n"/>
      <c r="I21" s="149" t="n"/>
      <c r="J21" s="149" t="n"/>
    </row>
    <row r="22" ht="28" customHeight="1" s="132">
      <c r="A22" s="29" t="n"/>
      <c r="B22" s="30" t="inlineStr">
        <is>
          <t>Move</t>
        </is>
      </c>
      <c r="C22" s="32" t="inlineStr">
        <is>
          <t>Dribble</t>
        </is>
      </c>
      <c r="D22" s="33" t="inlineStr">
        <is>
          <t>Draw 1 card. SHOT -10%</t>
        </is>
      </c>
      <c r="E22" s="34" t="n"/>
      <c r="F22" s="75" t="n">
        <v>15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31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74" t="n">
        <v>7</v>
      </c>
      <c r="G23" s="101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Ankle Breaker</t>
        </is>
      </c>
      <c r="D24" s="33" t="inlineStr">
        <is>
          <t>Target player discards 1 card. SHOT +10%</t>
        </is>
      </c>
      <c r="E24" s="34" t="n"/>
      <c r="F24" s="75" t="n">
        <v>10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90" t="inlineStr">
        <is>
          <t>Flop</t>
        </is>
      </c>
      <c r="D25" s="91" t="inlineStr">
        <is>
          <t>Cancel Clamps. Take 1 FT for each. If no Clamps on you, TOV +1</t>
        </is>
      </c>
      <c r="E25" s="7" t="n"/>
      <c r="F25" s="76" t="n">
        <v>5</v>
      </c>
      <c r="G25" s="130" t="inlineStr">
        <is>
          <t>Take 1 FT attempt for each Clamp on you and cancel it. If no Clamps on you, TOV +1</t>
        </is>
      </c>
      <c r="H25" s="102" t="n"/>
      <c r="I25" s="102" t="n"/>
      <c r="J25" s="102" t="n"/>
    </row>
    <row r="26" ht="28" customHeight="1" s="132">
      <c r="A26" s="29" t="n"/>
      <c r="B26" s="30" t="inlineStr">
        <is>
          <t>Move</t>
        </is>
      </c>
      <c r="C26" s="32" t="inlineStr">
        <is>
          <t>Hesi</t>
        </is>
      </c>
      <c r="D26" s="33" t="inlineStr">
        <is>
          <t>SHOT +10%</t>
        </is>
      </c>
      <c r="E26" s="33" t="inlineStr">
        <is>
          <t>Shot Clock -1</t>
        </is>
      </c>
      <c r="F26" s="80" t="n">
        <v>15</v>
      </c>
      <c r="G26" s="107" t="n"/>
      <c r="H26" s="102" t="n"/>
      <c r="I26" s="102" t="n"/>
      <c r="J26" s="102" t="n"/>
    </row>
    <row r="27" ht="14" customHeight="1" s="132">
      <c r="A27" s="29" t="n"/>
      <c r="B27" s="30" t="inlineStr">
        <is>
          <t>Move</t>
        </is>
      </c>
      <c r="C27" s="31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74" t="n">
        <v>12</v>
      </c>
      <c r="G27" s="101" t="n"/>
      <c r="H27" s="102" t="n"/>
      <c r="I27" s="102" t="n"/>
      <c r="J27" s="102" t="n"/>
    </row>
    <row r="28" ht="71" customHeight="1" s="132">
      <c r="A28" s="29" t="n"/>
      <c r="B28" s="30" t="inlineStr">
        <is>
          <t>Move</t>
        </is>
      </c>
      <c r="C28" s="32" t="inlineStr">
        <is>
          <t>Rhythm Dribble</t>
        </is>
      </c>
      <c r="D28" s="33" t="inlineStr">
        <is>
          <t>Draw 1 card. SHOT +10%.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20" customHeight="1" s="132">
      <c r="A29" s="29" t="n"/>
      <c r="B29" s="30" t="inlineStr">
        <is>
          <t>Move</t>
        </is>
      </c>
      <c r="C29" s="133" t="inlineStr">
        <is>
          <t>Pound Dribble</t>
        </is>
      </c>
      <c r="D29" s="94" t="inlineStr">
        <is>
          <t>Draw 2 cards then Discard 1. SHOT +10% Shot Clock -1</t>
        </is>
      </c>
      <c r="E29" s="34" t="n"/>
      <c r="F29" s="75" t="n">
        <v>5</v>
      </c>
      <c r="G29" s="107" t="n"/>
      <c r="H29" s="102" t="n"/>
      <c r="I29" s="102" t="n"/>
      <c r="J29" s="102" t="n"/>
    </row>
    <row r="30" ht="42" customHeight="1" s="132">
      <c r="A30" s="29" t="n"/>
      <c r="B30" s="30" t="inlineStr">
        <is>
          <t>Move</t>
        </is>
      </c>
      <c r="C30" s="133" t="inlineStr">
        <is>
          <t>Spin Move</t>
        </is>
      </c>
      <c r="D30" s="94" t="inlineStr">
        <is>
          <t>SHOT + 10%. If being Clamped, discard all Clamps and gain additional SHOT +10% for each</t>
        </is>
      </c>
      <c r="E30" s="34" t="n"/>
      <c r="F30" s="75" t="n">
        <v>10</v>
      </c>
      <c r="G30" s="125" t="inlineStr">
        <is>
          <t>isDribble = true</t>
        </is>
      </c>
      <c r="H30" s="102" t="n"/>
      <c r="I30" s="102" t="n"/>
      <c r="J30" s="102" t="n"/>
    </row>
    <row r="31" ht="14" customHeight="1" s="132">
      <c r="A31" s="29" t="n"/>
      <c r="B31" s="30" t="inlineStr">
        <is>
          <t>Move</t>
        </is>
      </c>
      <c r="C31" s="133" t="inlineStr">
        <is>
          <t>Crossover</t>
        </is>
      </c>
      <c r="D31" s="94" t="inlineStr">
        <is>
          <t>Draw 1 Card. SHOT +10%. If being Clamped, discard all clamps and Draw 1 card and Clamp-sender discards 1card for each</t>
        </is>
      </c>
      <c r="E31" s="34" t="n"/>
      <c r="F31" s="75" t="n">
        <v>5</v>
      </c>
      <c r="G31" s="125" t="inlineStr">
        <is>
          <t>isDribble = true</t>
        </is>
      </c>
      <c r="H31" s="102" t="n"/>
      <c r="I31" s="102" t="n"/>
      <c r="J31" s="102" t="n"/>
    </row>
    <row r="32" ht="28" customHeight="1" s="132">
      <c r="A32" s="29" t="n"/>
      <c r="B32" s="30" t="inlineStr">
        <is>
          <t>Move</t>
        </is>
      </c>
      <c r="C32" s="31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74" t="n">
        <v>12</v>
      </c>
      <c r="G32" s="101" t="inlineStr">
        <is>
          <t>The discard is an optional prompt.</t>
        </is>
      </c>
      <c r="H32" s="102" t="n"/>
      <c r="I32" s="102" t="n"/>
      <c r="J32" s="102" t="n"/>
    </row>
    <row r="33" ht="14" customHeight="1" s="132">
      <c r="A33" s="29" t="n"/>
      <c r="B33" s="30" t="inlineStr">
        <is>
          <t>Move</t>
        </is>
      </c>
      <c r="C33" s="32" t="inlineStr">
        <is>
          <t>Triple Threat</t>
        </is>
      </c>
      <c r="D33" s="33" t="inlineStr">
        <is>
          <t>Choose 1:
Draw 1 card
Pass to player of choice (SHOT +5%)
SHOT +10%</t>
        </is>
      </c>
      <c r="E33" s="33" t="inlineStr">
        <is>
          <t>Cannot use further Move cards</t>
        </is>
      </c>
      <c r="F33" s="80" t="n">
        <v>15</v>
      </c>
      <c r="G33" s="107" t="inlineStr">
        <is>
          <t>Cannot use further Move cards applies to that possession only.</t>
        </is>
      </c>
      <c r="H33" s="102" t="n"/>
      <c r="I33" s="102" t="n"/>
      <c r="J33" s="102" t="n"/>
    </row>
    <row r="34" ht="14" customHeight="1" s="132">
      <c r="A34" s="35" t="n"/>
      <c r="B34" s="36" t="inlineStr">
        <is>
          <t>Move</t>
        </is>
      </c>
      <c r="C34" s="37" t="inlineStr">
        <is>
          <t>Clear Out</t>
        </is>
      </c>
      <c r="D34" s="38" t="inlineStr">
        <is>
          <t>First action only. The next pass to a side goes past you. One that named you is a TOV and ends the round</t>
        </is>
      </c>
      <c r="E34" s="38" t="n"/>
      <c r="F34" s="77" t="n">
        <v>8</v>
      </c>
      <c r="G34" s="150" t="n"/>
      <c r="H34" s="151" t="n"/>
      <c r="I34" s="151" t="n"/>
      <c r="J34" s="151" t="n"/>
    </row>
    <row r="35" ht="28" customHeight="1" s="132">
      <c r="A35" s="144" t="inlineStr">
        <is>
          <t>Special Move</t>
        </is>
      </c>
      <c r="B35" s="145">
        <f>COUNTIF($B$36:$B$136,"Special Move")</f>
        <v/>
      </c>
      <c r="C35" s="146" t="n"/>
      <c r="D35" s="146" t="n"/>
      <c r="E35" s="146" t="n"/>
      <c r="F35" s="147" t="n"/>
      <c r="G35" s="148" t="n"/>
      <c r="H35" s="149" t="n"/>
      <c r="I35" s="149" t="n"/>
      <c r="J35" s="149" t="n"/>
    </row>
    <row r="36" ht="28" customHeight="1" s="132">
      <c r="A36" s="29" t="n"/>
      <c r="B36" s="30" t="inlineStr">
        <is>
          <t>Special Move</t>
        </is>
      </c>
      <c r="C36" s="32" t="inlineStr">
        <is>
          <t>Bankshot</t>
        </is>
      </c>
      <c r="D36" s="33" t="inlineStr">
        <is>
          <t>Flip a coin:
Heads: SHOT +10%
Tails: SHOT -10%</t>
        </is>
      </c>
      <c r="E36" s="33" t="inlineStr">
        <is>
          <t>Shoot the ball</t>
        </is>
      </c>
      <c r="F36" s="80" t="n">
        <v>4</v>
      </c>
      <c r="G36" s="107" t="n"/>
      <c r="H36" s="102" t="n"/>
      <c r="I36" s="102" t="n"/>
      <c r="J36" s="102" t="n"/>
    </row>
    <row r="37" ht="28" customHeight="1" s="132">
      <c r="A37" s="29" t="n"/>
      <c r="B37" s="30" t="inlineStr">
        <is>
          <t>Special Move</t>
        </is>
      </c>
      <c r="C37" s="31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74" t="n">
        <v>4</v>
      </c>
      <c r="G37" s="111" t="inlineStr">
        <is>
          <t>Can only play with Shot Clock at 1</t>
        </is>
      </c>
      <c r="H37" s="102" t="n"/>
      <c r="I37" s="102" t="n"/>
      <c r="J37" s="102" t="n"/>
    </row>
    <row r="38" ht="42" customHeight="1" s="132">
      <c r="A38" s="29" t="n"/>
      <c r="B38" s="30" t="inlineStr">
        <is>
          <t>Special Move</t>
        </is>
      </c>
      <c r="C38" s="32" t="inlineStr">
        <is>
          <t>Dagger Three</t>
        </is>
      </c>
      <c r="D38" s="94" t="inlineStr">
        <is>
          <t>[SHOT + 30% at 01 Shot Clock, +20% at 02, +10% at 03, +0% at 04, -10% at 05, etc.]</t>
        </is>
      </c>
      <c r="E38" s="33" t="inlineStr">
        <is>
          <t>Shoot the ball. +1 Point on make</t>
        </is>
      </c>
      <c r="F38" s="80" t="n">
        <v>4</v>
      </c>
      <c r="G38" s="107" t="n"/>
      <c r="H38" s="102" t="n"/>
      <c r="I38" s="102" t="n"/>
      <c r="J38" s="102" t="n"/>
    </row>
    <row r="39" ht="28" customHeight="1" s="132">
      <c r="A39" s="29" t="n"/>
      <c r="B39" s="30" t="inlineStr">
        <is>
          <t>Special Move</t>
        </is>
      </c>
      <c r="C39" s="31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74" t="n">
        <v>10</v>
      </c>
      <c r="G39" s="101" t="n"/>
      <c r="H39" s="102" t="n"/>
      <c r="I39" s="102" t="n"/>
      <c r="J39" s="102" t="n"/>
    </row>
    <row r="40" ht="28" customHeight="1" s="132">
      <c r="A40" s="29" t="n"/>
      <c r="B40" s="30" t="inlineStr">
        <is>
          <t>Special Move</t>
        </is>
      </c>
      <c r="C40" s="32" t="inlineStr">
        <is>
          <t>From the Hash</t>
        </is>
      </c>
      <c r="D40" s="94" t="inlineStr">
        <is>
          <t>SHOT -20%</t>
        </is>
      </c>
      <c r="E40" s="33" t="inlineStr">
        <is>
          <t>Shoot the ball. +1 Point on make</t>
        </is>
      </c>
      <c r="F40" s="80" t="n">
        <v>3</v>
      </c>
      <c r="G40" s="107" t="n"/>
      <c r="H40" s="102" t="n"/>
      <c r="I40" s="102" t="n"/>
      <c r="J40" s="102" t="n"/>
    </row>
    <row r="41" ht="42" customHeight="1" s="132">
      <c r="A41" s="29" t="n"/>
      <c r="B41" s="30" t="inlineStr">
        <is>
          <t>Special Move</t>
        </is>
      </c>
      <c r="C41" s="31" t="inlineStr">
        <is>
          <t>From the Logo</t>
        </is>
      </c>
      <c r="D41" s="91" t="inlineStr">
        <is>
          <t>SHOT -30%</t>
        </is>
      </c>
      <c r="E41" s="6" t="inlineStr">
        <is>
          <t>Shoot the ball. +1 Point on make</t>
        </is>
      </c>
      <c r="F41" s="74" t="n">
        <v>3</v>
      </c>
      <c r="G41" s="101" t="n"/>
      <c r="H41" s="102" t="n"/>
      <c r="I41" s="102" t="n"/>
      <c r="J41" s="102" t="n"/>
    </row>
    <row r="42" ht="57" customHeight="1" s="132">
      <c r="A42" s="29" t="n"/>
      <c r="B42" s="30" t="inlineStr">
        <is>
          <t>Special Move</t>
        </is>
      </c>
      <c r="C42" s="32" t="inlineStr">
        <is>
          <t>Full-Court Heave</t>
        </is>
      </c>
      <c r="D42" s="33" t="inlineStr">
        <is>
          <t>SHOT = 10%</t>
        </is>
      </c>
      <c r="E42" s="33" t="inlineStr">
        <is>
          <t>Shoot the ball. +1 Point on make</t>
        </is>
      </c>
      <c r="F42" s="80" t="n">
        <v>3</v>
      </c>
      <c r="G42" s="107" t="n"/>
      <c r="H42" s="102" t="n"/>
      <c r="I42" s="102" t="n"/>
      <c r="J42" s="102" t="n"/>
    </row>
    <row r="43" ht="20" customHeight="1" s="132">
      <c r="A43" s="29" t="n"/>
      <c r="B43" s="30" t="inlineStr">
        <is>
          <t>Special Move</t>
        </is>
      </c>
      <c r="C43" s="31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74" t="n">
        <v>3</v>
      </c>
      <c r="G43" s="101" t="n"/>
      <c r="H43" s="102" t="n"/>
      <c r="I43" s="102" t="n"/>
      <c r="J43" s="102" t="n"/>
    </row>
    <row r="44" ht="28" customHeight="1" s="132">
      <c r="A44" s="29" t="n"/>
      <c r="B44" s="30" t="inlineStr">
        <is>
          <t>Special Move</t>
        </is>
      </c>
      <c r="C44" s="32" t="inlineStr">
        <is>
          <t>Skyhook</t>
        </is>
      </c>
      <c r="D44" s="33" t="inlineStr">
        <is>
          <t>SHOT +10%</t>
        </is>
      </c>
      <c r="E44" s="94" t="inlineStr">
        <is>
          <t>Shoot the ball. Shot is unaffected by Clamps</t>
        </is>
      </c>
      <c r="F44" s="80" t="n">
        <v>4</v>
      </c>
      <c r="G44" s="107" t="n"/>
      <c r="H44" s="102" t="n"/>
      <c r="I44" s="102" t="n"/>
      <c r="J44" s="102" t="n"/>
    </row>
    <row r="45" ht="28" customHeight="1" s="132">
      <c r="A45" s="29" t="n"/>
      <c r="B45" s="30" t="inlineStr">
        <is>
          <t>Special Move</t>
        </is>
      </c>
      <c r="C45" s="31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74" t="n">
        <v>4</v>
      </c>
      <c r="G45" s="101" t="n"/>
      <c r="H45" s="102" t="n"/>
      <c r="I45" s="102" t="n"/>
      <c r="J45" s="102" t="n"/>
    </row>
    <row r="46" ht="42" customHeight="1" s="132">
      <c r="A46" s="29" t="n"/>
      <c r="B46" s="30" t="inlineStr">
        <is>
          <t>Special Move</t>
        </is>
      </c>
      <c r="C46" s="32" t="inlineStr">
        <is>
          <t>Turnaround Three</t>
        </is>
      </c>
      <c r="D46" s="33" t="inlineStr">
        <is>
          <t>Discard any number of cards. SHOT +10% for each</t>
        </is>
      </c>
      <c r="E46" s="33" t="inlineStr">
        <is>
          <t>Shoot the ball. +1 Point on make</t>
        </is>
      </c>
      <c r="F46" s="80" t="n">
        <v>1</v>
      </c>
      <c r="G46" s="113" t="inlineStr">
        <is>
          <t>Only 1 in deck</t>
        </is>
      </c>
      <c r="H46" s="102" t="n"/>
      <c r="I46" s="102" t="n"/>
      <c r="J46" s="102" t="n"/>
    </row>
    <row r="47" ht="42" customHeight="1" s="132">
      <c r="A47" s="29" t="n"/>
      <c r="B47" s="30" t="inlineStr">
        <is>
          <t>Special Move</t>
        </is>
      </c>
      <c r="C47" s="31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76" t="n">
        <v>5</v>
      </c>
      <c r="G47" s="101" t="n"/>
      <c r="H47" s="102" t="n"/>
      <c r="I47" s="102" t="n"/>
      <c r="J47" s="102" t="n"/>
    </row>
    <row r="48" ht="29" customHeight="1" s="132">
      <c r="A48" s="35" t="n"/>
      <c r="B48" s="36" t="inlineStr">
        <is>
          <t>Special Move</t>
        </is>
      </c>
      <c r="C48" s="152" t="inlineStr">
        <is>
          <t>Wide-Open Three</t>
        </is>
      </c>
      <c r="D48" s="153" t="inlineStr">
        <is>
          <t>Select any number of other players. SHOT +10% for each</t>
        </is>
      </c>
      <c r="E48" s="154" t="inlineStr">
        <is>
          <t>Shoot the ball. +1 Point on make. Selected players receive +1 AST on a make</t>
        </is>
      </c>
      <c r="F48" s="155" t="n">
        <v>2</v>
      </c>
      <c r="G48" s="156" t="inlineStr">
        <is>
          <t>Selecting none rolls off current SHOT and is still a three</t>
        </is>
      </c>
      <c r="H48" s="151" t="n"/>
      <c r="I48" s="151" t="n"/>
      <c r="J48" s="151" t="n"/>
    </row>
    <row r="49" ht="20" customHeight="1" s="132">
      <c r="A49" s="144" t="inlineStr">
        <is>
          <t>Clamp</t>
        </is>
      </c>
      <c r="B49" s="145">
        <f>COUNTIF($B$50:$B$136,"Clamp")</f>
        <v/>
      </c>
      <c r="C49" s="146" t="n"/>
      <c r="D49" s="146" t="n"/>
      <c r="E49" s="146" t="n"/>
      <c r="F49" s="147" t="n"/>
      <c r="G49" s="148" t="n"/>
      <c r="H49" s="149" t="n"/>
      <c r="I49" s="149" t="n"/>
      <c r="J49" s="149" t="n"/>
    </row>
    <row r="50" ht="56" customHeight="1" s="132">
      <c r="A50" s="29" t="n"/>
      <c r="B50" s="30" t="inlineStr">
        <is>
          <t>Clamp</t>
        </is>
      </c>
      <c r="C50" s="31" t="inlineStr">
        <is>
          <t>Contest</t>
        </is>
      </c>
      <c r="D50" s="6" t="inlineStr">
        <is>
          <t>Next player SHOT -25% if they shoot</t>
        </is>
      </c>
      <c r="E50" s="7" t="n"/>
      <c r="F50" s="76" t="n">
        <v>10</v>
      </c>
      <c r="G50" s="130" t="inlineStr">
        <is>
          <t>1 def</t>
        </is>
      </c>
      <c r="H50" s="102" t="n"/>
      <c r="I50" s="102" t="n"/>
      <c r="J50" s="102" t="n"/>
    </row>
    <row r="51" ht="47" customHeight="1" s="132">
      <c r="A51" s="29" t="n"/>
      <c r="B51" s="30" t="inlineStr">
        <is>
          <t>Clamp</t>
        </is>
      </c>
      <c r="C51" s="32" t="inlineStr">
        <is>
          <t>Double-Team</t>
        </is>
      </c>
      <c r="D51" s="33" t="inlineStr">
        <is>
          <t>Next Player cannot play 2 random cards from hand.</t>
        </is>
      </c>
      <c r="E51" s="34" t="n"/>
      <c r="F51" s="75" t="n">
        <v>4</v>
      </c>
      <c r="G51" s="125" t="inlineStr">
        <is>
          <t>2 def</t>
        </is>
      </c>
      <c r="H51" s="102" t="n"/>
      <c r="I51" s="102" t="n"/>
      <c r="J51" s="102" t="n"/>
    </row>
    <row r="52" ht="54" customHeight="1" s="132">
      <c r="A52" s="29" t="n"/>
      <c r="B52" s="30" t="inlineStr">
        <is>
          <t>Clamp</t>
        </is>
      </c>
      <c r="C52" s="31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76" t="n">
        <v>3</v>
      </c>
      <c r="G52" s="130" t="inlineStr">
        <is>
          <t>1 def</t>
        </is>
      </c>
      <c r="H52" s="102" t="n"/>
      <c r="I52" s="102" t="n"/>
      <c r="J52" s="102" t="n"/>
    </row>
    <row r="53" ht="28" customHeight="1" s="132">
      <c r="A53" s="29" t="n"/>
      <c r="B53" s="30" t="inlineStr">
        <is>
          <t>Clamp</t>
        </is>
      </c>
      <c r="C53" s="32" t="inlineStr">
        <is>
          <t>Trap</t>
        </is>
      </c>
      <c r="D53" s="94" t="inlineStr">
        <is>
          <t>Next player can only play Pass cards during their turn</t>
        </is>
      </c>
      <c r="E53" s="34" t="n"/>
      <c r="F53" s="75" t="n">
        <v>5</v>
      </c>
      <c r="G53" s="125" t="inlineStr">
        <is>
          <t>They can still shoot as another option; 3 def</t>
        </is>
      </c>
      <c r="H53" s="102" t="n"/>
      <c r="I53" s="102" t="n"/>
      <c r="J53" s="102" t="n"/>
    </row>
    <row r="54" ht="28" customHeight="1" s="132">
      <c r="A54" s="35" t="n"/>
      <c r="B54" s="36" t="inlineStr">
        <is>
          <t>Clamp</t>
        </is>
      </c>
      <c r="C54" s="152" t="inlineStr">
        <is>
          <t>Triple-Team</t>
        </is>
      </c>
      <c r="D54" s="153" t="inlineStr">
        <is>
          <t>Next player cannot play 3 random cards from hand.</t>
        </is>
      </c>
      <c r="E54" s="154" t="n"/>
      <c r="F54" s="155" t="n">
        <v>2</v>
      </c>
      <c r="G54" s="157" t="inlineStr">
        <is>
          <t>3 def</t>
        </is>
      </c>
      <c r="H54" s="151" t="n"/>
      <c r="I54" s="151" t="n"/>
      <c r="J54" s="151" t="n"/>
    </row>
    <row r="55" ht="28" customHeight="1" s="132">
      <c r="A55" s="144" t="inlineStr">
        <is>
          <t>Whistle</t>
        </is>
      </c>
      <c r="B55" s="145">
        <f>COUNTIF($B$56:$B$136,"Whistle")</f>
        <v/>
      </c>
      <c r="C55" s="146" t="n"/>
      <c r="D55" s="146" t="n"/>
      <c r="E55" s="146" t="n"/>
      <c r="F55" s="147" t="n"/>
      <c r="G55" s="148" t="n"/>
      <c r="H55" s="149" t="n"/>
      <c r="I55" s="149" t="n"/>
      <c r="J55" s="149" t="n"/>
    </row>
    <row r="56" ht="42" customHeight="1" s="132">
      <c r="A56" s="29" t="inlineStr">
        <is>
          <t>All whistles are limited to 1</t>
        </is>
      </c>
      <c r="B56" s="30" t="inlineStr">
        <is>
          <t>Whistle</t>
        </is>
      </c>
      <c r="C56" s="31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138" t="n"/>
      <c r="G56" s="101" t="inlineStr">
        <is>
          <t>The player who played this whistle chooses, excluding the player who played the pass but including themselves.</t>
        </is>
      </c>
      <c r="H56" s="102" t="n"/>
      <c r="I56" s="102" t="n"/>
      <c r="J56" s="102" t="n"/>
    </row>
    <row r="57" ht="40" customHeight="1" s="132">
      <c r="A57" s="29" t="n"/>
      <c r="B57" s="30" t="inlineStr">
        <is>
          <t>Whistle</t>
        </is>
      </c>
      <c r="C57" s="90" t="inlineStr">
        <is>
          <t>Blocking Foul</t>
        </is>
      </c>
      <c r="D57" s="93" t="inlineStr">
        <is>
          <t>Clamp Card Played: Cancel card. Clamped player +1 FT</t>
        </is>
      </c>
      <c r="E57" s="34" t="n"/>
      <c r="F57" s="138" t="n"/>
      <c r="G57" s="107" t="n"/>
      <c r="H57" s="102" t="n"/>
      <c r="I57" s="102" t="n"/>
      <c r="J57" s="102" t="n"/>
    </row>
    <row r="58" ht="30" customHeight="1" s="132">
      <c r="A58" s="29" t="n"/>
      <c r="B58" s="30" t="inlineStr">
        <is>
          <t>Whistle</t>
        </is>
      </c>
      <c r="C58" s="31" t="inlineStr">
        <is>
          <t>Charge</t>
        </is>
      </c>
      <c r="D58" s="92" t="inlineStr">
        <is>
          <t>Shot Attempt: Cancel. Shooter Inbounds</t>
        </is>
      </c>
      <c r="E58" s="7" t="n"/>
      <c r="F58" s="138" t="n"/>
      <c r="G58" s="101" t="n"/>
      <c r="H58" s="102" t="n"/>
      <c r="I58" s="102" t="n"/>
      <c r="J58" s="102" t="n"/>
    </row>
    <row r="59" ht="56" customHeight="1" s="132">
      <c r="A59" s="29" t="n"/>
      <c r="B59" s="30" t="inlineStr">
        <is>
          <t>Whistle</t>
        </is>
      </c>
      <c r="C59" s="32" t="inlineStr">
        <is>
          <t>Cleared to Play</t>
        </is>
      </c>
      <c r="D59" s="33" t="inlineStr">
        <is>
          <t>Injury Card Played: Cancel card.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138" t="n"/>
      <c r="G60" s="101" t="n"/>
      <c r="H60" s="102" t="n"/>
      <c r="I60" s="102" t="n"/>
      <c r="J60" s="102" t="n"/>
    </row>
    <row r="61" ht="42" customHeight="1" s="132">
      <c r="A61" s="29" t="n"/>
      <c r="B61" s="30" t="inlineStr">
        <is>
          <t>Whistle</t>
        </is>
      </c>
      <c r="C61" s="90" t="inlineStr">
        <is>
          <t>Delay-of-Game Warning</t>
        </is>
      </c>
      <c r="D61" s="94" t="inlineStr">
        <is>
          <t>Lower Shot Clock with a card: Cancel that card's effects</t>
        </is>
      </c>
      <c r="E61" s="33" t="inlineStr">
        <is>
          <t>If 2nd time activated this round: Whistle player takes 1 FT in addition</t>
        </is>
      </c>
      <c r="F61" s="139" t="n"/>
      <c r="G61" s="113" t="inlineStr">
        <is>
          <t>The Shot Clock reduction still applies. Game Breaks do not count — those are game events, not cards the player activates.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138" t="n"/>
      <c r="G62" s="101" t="inlineStr">
        <is>
          <t>The dribbling player inbounds. The round is NOT incremented.</t>
        </is>
      </c>
      <c r="H62" s="102" t="n"/>
      <c r="I62" s="102" t="n"/>
      <c r="J62" s="102" t="n"/>
    </row>
    <row r="63" ht="28" customHeight="1" s="132">
      <c r="A63" s="29" t="n"/>
      <c r="B63" s="30" t="inlineStr">
        <is>
          <t>Whistle</t>
        </is>
      </c>
      <c r="C63" s="90" t="inlineStr">
        <is>
          <t>Flagrant Foul</t>
        </is>
      </c>
      <c r="D63" s="94" t="inlineStr">
        <is>
          <t>Clamp Card Played: Cancel card. Clamper discard 1. Clamped player +1 FT then gets ball</t>
        </is>
      </c>
      <c r="E63" s="34" t="n"/>
      <c r="F63" s="138" t="n"/>
      <c r="G63" s="107" t="n"/>
      <c r="H63" s="102" t="n"/>
      <c r="I63" s="102" t="n"/>
      <c r="J63" s="102" t="n"/>
    </row>
    <row r="64" ht="42" customHeight="1" s="132">
      <c r="A64" s="29" t="n"/>
      <c r="B64" s="30" t="inlineStr">
        <is>
          <t>Whistle</t>
        </is>
      </c>
      <c r="C64" s="90" t="inlineStr">
        <is>
          <t>Flagrant Foul II</t>
        </is>
      </c>
      <c r="D64" s="91" t="inlineStr">
        <is>
          <t>Clamp Card Played: Cancel card. Clamper discards Bag. Clamped player +1 FT then gets ball</t>
        </is>
      </c>
      <c r="E64" s="7" t="n"/>
      <c r="F64" s="138" t="n"/>
      <c r="G64" s="101" t="n"/>
      <c r="H64" s="102" t="n"/>
      <c r="I64" s="102" t="n"/>
      <c r="J64" s="102" t="n"/>
    </row>
    <row r="65" ht="29" customHeight="1" s="132">
      <c r="A65" s="29" t="n"/>
      <c r="B65" s="30" t="inlineStr">
        <is>
          <t>Whistle</t>
        </is>
      </c>
      <c r="C65" s="32" t="inlineStr">
        <is>
          <t>Goaltending</t>
        </is>
      </c>
      <c r="D65" s="33" t="inlineStr">
        <is>
          <t>Clamp Card Played: Cancel card. Clamped player +2 points. End round.</t>
        </is>
      </c>
      <c r="E65" s="34" t="n"/>
      <c r="F65" s="138" t="n"/>
      <c r="G65" s="107" t="n"/>
      <c r="H65" s="102" t="n"/>
      <c r="I65" s="102" t="n"/>
      <c r="J65" s="102" t="n"/>
    </row>
    <row r="66" ht="20" customHeight="1" s="132">
      <c r="A66" s="29" t="n"/>
      <c r="B66" s="30" t="inlineStr">
        <is>
          <t>Whistle</t>
        </is>
      </c>
      <c r="C66" s="31" t="inlineStr">
        <is>
          <t>Inadvertent Whistle</t>
        </is>
      </c>
      <c r="D66" s="91" t="inlineStr">
        <is>
          <t>Any other whistle triggers: Cancel that card. Turn player draws 1 card.</t>
        </is>
      </c>
      <c r="E66" s="7" t="n"/>
      <c r="F66" s="138" t="n"/>
      <c r="G66" s="101" t="n"/>
      <c r="H66" s="102" t="n"/>
      <c r="I66" s="102" t="n"/>
      <c r="J66" s="102" t="n"/>
    </row>
    <row r="67" ht="28" customHeight="1" s="132">
      <c r="A67" s="29" t="n"/>
      <c r="B67" s="30" t="inlineStr">
        <is>
          <t>Whistle</t>
        </is>
      </c>
      <c r="C67" s="32" t="inlineStr">
        <is>
          <t>Official Review</t>
        </is>
      </c>
      <c r="D67" s="94" t="inlineStr">
        <is>
          <t>Intangible Played: Discard all Intangibles from player.</t>
        </is>
      </c>
      <c r="E67" s="34" t="n"/>
      <c r="F67" s="138" t="n"/>
      <c r="G67" s="107" t="n"/>
      <c r="H67" s="102" t="n"/>
      <c r="I67" s="102" t="n"/>
      <c r="J67" s="102" t="n"/>
    </row>
    <row r="68" ht="28" customHeight="1" s="132">
      <c r="A68" s="29" t="n"/>
      <c r="B68" s="30" t="inlineStr">
        <is>
          <t>Whistle</t>
        </is>
      </c>
      <c r="C68" s="31" t="inlineStr">
        <is>
          <t>Shot Clock Violation</t>
        </is>
      </c>
      <c r="D68" s="91" t="inlineStr">
        <is>
          <t>Shot Clock is changed: TOV +1. Ball OOB</t>
        </is>
      </c>
      <c r="E68" s="7" t="n"/>
      <c r="F68" s="138" t="n"/>
      <c r="G68" s="101" t="inlineStr">
        <is>
          <t>This inbound does NOT increment the round.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Whistle</t>
        </is>
      </c>
      <c r="C69" s="32" t="inlineStr">
        <is>
          <t>Technical Foul</t>
        </is>
      </c>
      <c r="D69" s="94" t="inlineStr">
        <is>
          <t>Any Non-Whistle Card Played: Cancel card. Take 1 FT</t>
        </is>
      </c>
      <c r="E69" s="34" t="n"/>
      <c r="F69" s="138" t="n"/>
      <c r="G69" s="107" t="n"/>
      <c r="H69" s="102" t="n"/>
      <c r="I69" s="102" t="n"/>
      <c r="J69" s="102" t="n"/>
    </row>
    <row r="70" ht="14" customHeight="1" s="132">
      <c r="A70" s="29" t="n"/>
      <c r="B70" s="30" t="inlineStr">
        <is>
          <t>Whistle</t>
        </is>
      </c>
      <c r="C70" s="31" t="inlineStr">
        <is>
          <t>Timeout</t>
        </is>
      </c>
      <c r="D70" s="91" t="inlineStr">
        <is>
          <t>Immediate: Reset Shot Clock. You inbound. All players draw 1 card</t>
        </is>
      </c>
      <c r="E70" s="7" t="n"/>
      <c r="F70" s="138" t="n"/>
      <c r="G70" s="101" t="n"/>
      <c r="H70" s="102" t="n"/>
      <c r="I70" s="102" t="n"/>
      <c r="J70" s="102" t="n"/>
    </row>
    <row r="71" ht="14" customHeight="1" s="132">
      <c r="A71" s="29" t="n"/>
      <c r="B71" s="30" t="inlineStr">
        <is>
          <t>Whistle</t>
        </is>
      </c>
      <c r="C71" s="32" t="inlineStr">
        <is>
          <t>Travel</t>
        </is>
      </c>
      <c r="D71" s="33" t="inlineStr">
        <is>
          <t>Move card played: Cancel card. TOV +1</t>
        </is>
      </c>
      <c r="E71" s="34" t="n"/>
      <c r="F71" s="138" t="n"/>
      <c r="G71" s="107" t="n"/>
      <c r="H71" s="102" t="n"/>
      <c r="I71" s="102" t="n"/>
      <c r="J71" s="102" t="n"/>
    </row>
    <row r="72" ht="28" customHeight="1" s="132">
      <c r="A72" s="29" t="n"/>
      <c r="B72" s="30" t="inlineStr">
        <is>
          <t>Whistle</t>
        </is>
      </c>
      <c r="C72" s="32" t="inlineStr">
        <is>
          <t>Clear Path Foul</t>
        </is>
      </c>
      <c r="D72" s="33" t="inlineStr">
        <is>
          <t>On Shot, when Clamped by SHOT-reducing Clamps: Cancel those Clamps. Award the points the shot was worth. Take 1 FT</t>
        </is>
      </c>
      <c r="E72" s="34" t="n"/>
      <c r="F72" s="138" t="n"/>
      <c r="G72" s="107" t="inlineStr">
        <is>
          <t>Fires as the shot starts, before the cutscene. This DOES count as a completed round.</t>
        </is>
      </c>
      <c r="H72" s="102" t="n"/>
      <c r="I72" s="102" t="n"/>
      <c r="J72" s="102" t="n"/>
    </row>
    <row r="73" ht="28" customHeight="1" s="132">
      <c r="A73" s="29" t="n"/>
      <c r="B73" s="30" t="inlineStr">
        <is>
          <t>Whistle</t>
        </is>
      </c>
      <c r="C73" s="32" t="inlineStr">
        <is>
          <t>Play-On</t>
        </is>
      </c>
      <c r="D73" s="33" t="inlineStr">
        <is>
          <t>Discard each Game Break drawn and draw again, until a card is not one</t>
        </is>
      </c>
      <c r="E73" s="34" t="n"/>
      <c r="F73" s="138" t="n"/>
      <c r="G73" s="107" t="inlineStr">
        <is>
          <t>Raised where the Break lands, like Cleared to Play — nobody plays a Break</t>
        </is>
      </c>
      <c r="H73" s="102" t="n"/>
      <c r="I73" s="102" t="n"/>
      <c r="J73" s="102" t="n"/>
    </row>
    <row r="74" ht="28" customHeight="1" s="132">
      <c r="A74" s="35" t="n"/>
      <c r="B74" s="36" t="inlineStr">
        <is>
          <t>Whistle</t>
        </is>
      </c>
      <c r="C74" s="37" t="inlineStr">
        <is>
          <t>Crew Chief Review</t>
        </is>
      </c>
      <c r="D74" s="38" t="inlineStr">
        <is>
          <t>Cancel a pass. The ball comes to you</t>
        </is>
      </c>
      <c r="E74" s="158" t="n"/>
      <c r="F74" s="159" t="n"/>
      <c r="G74" s="150" t="n"/>
      <c r="H74" s="151" t="n"/>
      <c r="I74" s="151" t="n"/>
      <c r="J74" s="151" t="n"/>
    </row>
    <row r="75" ht="28" customHeight="1" s="132">
      <c r="A75" s="144" t="inlineStr">
        <is>
          <t>Game Break</t>
        </is>
      </c>
      <c r="B75" s="145">
        <f>COUNTIF($B$76:$B$136,"Game Break")</f>
        <v/>
      </c>
      <c r="C75" s="146" t="n"/>
      <c r="D75" s="146" t="n"/>
      <c r="E75" s="146" t="n"/>
      <c r="F75" s="147" t="n"/>
      <c r="G75" s="148" t="n"/>
      <c r="H75" s="149" t="n"/>
      <c r="I75" s="149" t="n"/>
      <c r="J75" s="149" t="n"/>
    </row>
    <row r="76" ht="28" customHeight="1" s="132">
      <c r="A76" s="29" t="n"/>
      <c r="B76" s="30" t="inlineStr">
        <is>
          <t>Game Break</t>
        </is>
      </c>
      <c r="C76" s="32" t="inlineStr">
        <is>
          <t>2-Minute Warning</t>
        </is>
      </c>
      <c r="D76" s="33" t="inlineStr">
        <is>
          <t>All players discard down to 2 or fewer cards</t>
        </is>
      </c>
      <c r="E76" s="34" t="n"/>
      <c r="F76" s="75" t="n">
        <v>2</v>
      </c>
      <c r="G76" s="107" t="n"/>
      <c r="H76" s="102" t="n"/>
      <c r="I76" s="102" t="n"/>
      <c r="J76" s="102" t="n"/>
    </row>
    <row r="77" ht="42" customHeight="1" s="132">
      <c r="A77" s="29" t="n"/>
      <c r="B77" s="30" t="inlineStr">
        <is>
          <t>Game Break</t>
        </is>
      </c>
      <c r="C77" s="31" t="inlineStr">
        <is>
          <t>Benched</t>
        </is>
      </c>
      <c r="D77" s="6" t="inlineStr">
        <is>
          <t>Immediately give ball to any other player.</t>
        </is>
      </c>
      <c r="E77" s="7" t="n"/>
      <c r="F77" s="76" t="n">
        <v>5</v>
      </c>
      <c r="G77" s="111" t="inlineStr">
        <is>
          <t>This is not a pass</t>
        </is>
      </c>
      <c r="H77" s="102" t="n"/>
      <c r="I77" s="102" t="n"/>
      <c r="J77" s="102" t="n"/>
    </row>
    <row r="78" ht="28" customHeight="1" s="132">
      <c r="A78" s="29" t="n"/>
      <c r="B78" s="30" t="inlineStr">
        <is>
          <t>Game Break</t>
        </is>
      </c>
      <c r="C78" s="32" t="inlineStr">
        <is>
          <t>Crowd Noise</t>
        </is>
      </c>
      <c r="D78" s="33" t="inlineStr">
        <is>
          <t>Discard 1 card.</t>
        </is>
      </c>
      <c r="E78" s="34" t="n"/>
      <c r="F78" s="75" t="n">
        <v>14</v>
      </c>
      <c r="G78" s="107" t="n"/>
      <c r="H78" s="102" t="n"/>
      <c r="I78" s="102" t="n"/>
      <c r="J78" s="102" t="n"/>
    </row>
    <row r="79" ht="28" customHeight="1" s="132">
      <c r="A79" s="29" t="n"/>
      <c r="B79" s="30" t="inlineStr">
        <is>
          <t>Game Break</t>
        </is>
      </c>
      <c r="C79" s="31" t="inlineStr">
        <is>
          <t>Designed Play</t>
        </is>
      </c>
      <c r="D79" s="6" t="inlineStr">
        <is>
          <t>Draw up to a hand of 5</t>
        </is>
      </c>
      <c r="E79" s="7" t="n"/>
      <c r="F79" s="76" t="n">
        <v>10</v>
      </c>
      <c r="G79" s="101" t="n"/>
      <c r="H79" s="102" t="n"/>
      <c r="I79" s="102" t="n"/>
      <c r="J79" s="102" t="n"/>
    </row>
    <row r="80" ht="20" customHeight="1" s="132">
      <c r="A80" s="29" t="n"/>
      <c r="B80" s="30" t="inlineStr">
        <is>
          <t>Game Break</t>
        </is>
      </c>
      <c r="C80" s="90" t="inlineStr">
        <is>
          <t>Foul</t>
        </is>
      </c>
      <c r="D80" s="33" t="inlineStr">
        <is>
          <t>Take 1 FT</t>
        </is>
      </c>
      <c r="E80" s="34" t="n"/>
      <c r="F80" s="75" t="n">
        <v>5</v>
      </c>
      <c r="G80" s="107" t="n"/>
      <c r="H80" s="102" t="n"/>
      <c r="I80" s="102" t="n"/>
      <c r="J80" s="102" t="n"/>
    </row>
    <row r="81" ht="28" customHeight="1" s="132">
      <c r="A81" s="29" t="n"/>
      <c r="B81" s="30" t="inlineStr">
        <is>
          <t>Game Break</t>
        </is>
      </c>
      <c r="C81" s="31" t="inlineStr">
        <is>
          <t>MVP Vote</t>
        </is>
      </c>
      <c r="D81" s="6" t="inlineStr">
        <is>
          <t>Draw 3 cards up to a hand of 7</t>
        </is>
      </c>
      <c r="E81" s="7" t="n"/>
      <c r="F81" s="76" t="n">
        <v>1</v>
      </c>
      <c r="G81" s="101" t="n"/>
      <c r="H81" s="102" t="n"/>
      <c r="I81" s="102" t="n"/>
      <c r="J81" s="102" t="n"/>
    </row>
    <row r="82" ht="20" customHeight="1" s="132">
      <c r="A82" s="29" t="n"/>
      <c r="B82" s="30" t="inlineStr">
        <is>
          <t>Game Break</t>
        </is>
      </c>
      <c r="C82" s="32" t="inlineStr">
        <is>
          <t>Off Night</t>
        </is>
      </c>
      <c r="D82" s="33" t="inlineStr">
        <is>
          <t>SHOT -20% this possession</t>
        </is>
      </c>
      <c r="E82" s="34" t="n"/>
      <c r="F82" s="75" t="n">
        <v>3</v>
      </c>
      <c r="G82" s="107" t="n"/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31" t="inlineStr">
        <is>
          <t>Swallowed Whistle</t>
        </is>
      </c>
      <c r="D83" s="6" t="inlineStr">
        <is>
          <t>Whistle cards cannot activate this turn.</t>
        </is>
      </c>
      <c r="E83" s="6" t="inlineStr">
        <is>
          <t>Remains for remainder of round</t>
        </is>
      </c>
      <c r="F83" s="74" t="n">
        <v>5</v>
      </c>
      <c r="G83" s="101" t="n"/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32" t="inlineStr">
        <is>
          <t>Rock Fight</t>
        </is>
      </c>
      <c r="D84" s="33" t="inlineStr">
        <is>
          <t>Players cannot shoot when SHOT is 50% or higher</t>
        </is>
      </c>
      <c r="E84" s="33" t="inlineStr">
        <is>
          <t>Remains for remainder of round</t>
        </is>
      </c>
      <c r="F84" s="80" t="n">
        <v>4</v>
      </c>
      <c r="G84" s="107" t="n"/>
      <c r="H84" s="102" t="n"/>
      <c r="I84" s="102" t="n"/>
      <c r="J84" s="102" t="n"/>
    </row>
    <row r="85" ht="56" customHeight="1" s="132">
      <c r="A85" s="29" t="n"/>
      <c r="B85" s="30" t="inlineStr">
        <is>
          <t>Game Break</t>
        </is>
      </c>
      <c r="C85" s="31" t="inlineStr">
        <is>
          <t>Traded Mid-Game</t>
        </is>
      </c>
      <c r="D85" s="6" t="inlineStr">
        <is>
          <t>Swap positions with random other player</t>
        </is>
      </c>
      <c r="E85" s="7" t="n"/>
      <c r="F85" s="76" t="n"/>
      <c r="G85" s="111" t="inlineStr">
        <is>
          <t>Applies to rest of game</t>
        </is>
      </c>
      <c r="H85" s="102" t="n"/>
      <c r="I85" s="102" t="n"/>
      <c r="J85" s="102" t="n"/>
    </row>
    <row r="86" ht="42" customHeight="1" s="132">
      <c r="A86" s="29" t="n"/>
      <c r="B86" s="30" t="inlineStr">
        <is>
          <t>Game Break</t>
        </is>
      </c>
      <c r="C86" s="134" t="inlineStr">
        <is>
          <t>Salary Cap Increase</t>
        </is>
      </c>
      <c r="D86" s="91" t="inlineStr">
        <is>
          <t>All players draw 2 cards</t>
        </is>
      </c>
      <c r="E86" s="7" t="n"/>
      <c r="F86" s="76" t="n">
        <v>4</v>
      </c>
      <c r="G86" s="111" t="n"/>
      <c r="H86" s="102" t="n"/>
      <c r="I86" s="102" t="n"/>
      <c r="J86" s="102" t="n"/>
    </row>
    <row r="87" ht="42" customHeight="1" s="132">
      <c r="A87" s="29" t="n"/>
      <c r="B87" s="30" t="inlineStr">
        <is>
          <t>Game Break</t>
        </is>
      </c>
      <c r="C87" s="134" t="inlineStr">
        <is>
          <t>All-Swissh Selection</t>
        </is>
      </c>
      <c r="D87" s="91" t="inlineStr">
        <is>
          <t>Draw 3 cards after your next make</t>
        </is>
      </c>
      <c r="E87" s="7" t="n"/>
      <c r="F87" s="76" t="n">
        <v>3</v>
      </c>
      <c r="G87" s="111" t="inlineStr">
        <is>
          <t>Arms an icon in the HUD tracking the pending draws</t>
        </is>
      </c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All Star Selection</t>
        </is>
      </c>
      <c r="D88" s="91" t="inlineStr">
        <is>
          <t>Draw 2 cards</t>
        </is>
      </c>
      <c r="E88" s="7" t="n"/>
      <c r="F88" s="76" t="n">
        <v>5</v>
      </c>
      <c r="G88" s="111" t="n"/>
      <c r="H88" s="102" t="n"/>
      <c r="I88" s="102" t="n"/>
      <c r="J88" s="102" t="n"/>
    </row>
    <row r="89" ht="28" customHeight="1" s="132">
      <c r="A89" s="29" t="n"/>
      <c r="B89" s="30" t="inlineStr">
        <is>
          <t>Game Break</t>
        </is>
      </c>
      <c r="C89" s="134" t="inlineStr">
        <is>
          <t>Hit the Bike</t>
        </is>
      </c>
      <c r="D89" s="91" t="inlineStr">
        <is>
          <t>Discard all Injuries. Draw 1 card. Give possession to another player</t>
        </is>
      </c>
      <c r="E89" s="7" t="n"/>
      <c r="F89" s="76" t="n">
        <v>5</v>
      </c>
      <c r="G89" s="111" t="inlineStr">
        <is>
          <t>This is not a pass</t>
        </is>
      </c>
      <c r="H89" s="102" t="n"/>
      <c r="I89" s="102" t="n"/>
      <c r="J89" s="102" t="n"/>
    </row>
    <row r="90" ht="56" customHeight="1" s="132">
      <c r="A90" s="29" t="n"/>
      <c r="B90" s="30" t="inlineStr">
        <is>
          <t>Game Break</t>
        </is>
      </c>
      <c r="C90" s="134" t="inlineStr">
        <is>
          <t>Ice Wrap</t>
        </is>
      </c>
      <c r="D90" s="91" t="inlineStr">
        <is>
          <t>Draw 1 card. Discard all Injuries. If none, draw 1 additional card</t>
        </is>
      </c>
      <c r="E90" s="7" t="n"/>
      <c r="F90" s="76" t="n">
        <v>5</v>
      </c>
      <c r="G90" s="111" t="n"/>
      <c r="H90" s="102" t="n"/>
      <c r="I90" s="102" t="n"/>
      <c r="J90" s="102" t="n"/>
    </row>
    <row r="91" ht="56" customHeight="1" s="132">
      <c r="A91" s="29" t="n"/>
      <c r="B91" s="30" t="inlineStr">
        <is>
          <t>Game Break</t>
        </is>
      </c>
      <c r="C91" s="134" t="inlineStr">
        <is>
          <t>Wet Spot</t>
        </is>
      </c>
      <c r="D91" s="91" t="inlineStr">
        <is>
          <t>All Injuries in the discards and deck are displayed. Take one</t>
        </is>
      </c>
      <c r="E91" s="7" t="n"/>
      <c r="F91" s="76" t="n">
        <v>2</v>
      </c>
      <c r="G91" s="111" t="inlineStr">
        <is>
          <t>Deck ones are shown face down</t>
        </is>
      </c>
      <c r="H91" s="102" t="n"/>
      <c r="I91" s="102" t="n"/>
      <c r="J91" s="102" t="n"/>
    </row>
    <row r="92" ht="28" customHeight="1" s="132">
      <c r="A92" s="29" t="n"/>
      <c r="B92" s="30" t="inlineStr">
        <is>
          <t>Game Break</t>
        </is>
      </c>
      <c r="C92" s="134" t="inlineStr">
        <is>
          <t>Fresh Ball</t>
        </is>
      </c>
      <c r="D92" s="91" t="inlineStr">
        <is>
          <t>Next player does not draw at the start of their possession</t>
        </is>
      </c>
      <c r="E92" s="7" t="n"/>
      <c r="F92" s="76" t="n">
        <v>3</v>
      </c>
      <c r="G92" s="111" t="inlineStr">
        <is>
          <t>This is a bad thing in the NBA</t>
        </is>
      </c>
      <c r="H92" s="102" t="n"/>
      <c r="I92" s="102" t="n"/>
      <c r="J92" s="102" t="n"/>
    </row>
    <row r="93" ht="42" customHeight="1" s="132">
      <c r="A93" s="29" t="n"/>
      <c r="B93" s="30" t="inlineStr">
        <is>
          <t>Game Break</t>
        </is>
      </c>
      <c r="C93" s="134" t="inlineStr">
        <is>
          <t>Trade Deadline</t>
        </is>
      </c>
      <c r="D93" s="91" t="inlineStr">
        <is>
          <t>Declare Left or Right: every player passes their hand that way. The ball goes with it</t>
        </is>
      </c>
      <c r="E93" s="7" t="n"/>
      <c r="F93" s="76" t="n">
        <v>3</v>
      </c>
      <c r="G93" s="111" t="inlineStr">
        <is>
          <t>The hex travels in the declared direction too</t>
        </is>
      </c>
      <c r="H93" s="102" t="n"/>
      <c r="I93" s="102" t="n"/>
      <c r="J93" s="102" t="n"/>
    </row>
    <row r="94" ht="28" customHeight="1" s="132">
      <c r="A94" s="29" t="n"/>
      <c r="B94" s="30" t="inlineStr">
        <is>
          <t>Game Break</t>
        </is>
      </c>
      <c r="C94" s="134" t="inlineStr">
        <is>
          <t>Floor Cleanup</t>
        </is>
      </c>
      <c r="D94" s="91" t="inlineStr">
        <is>
          <t>All players shuffle their hands into the deck and draw the same number of cards</t>
        </is>
      </c>
      <c r="E94" s="7" t="n"/>
      <c r="F94" s="76" t="n">
        <v>3</v>
      </c>
      <c r="G94" s="111" t="n"/>
      <c r="H94" s="102" t="n"/>
      <c r="I94" s="102" t="n"/>
      <c r="J94" s="102" t="n"/>
    </row>
    <row r="95" ht="42" customHeight="1" s="132">
      <c r="A95" s="29" t="n"/>
      <c r="B95" s="30" t="inlineStr">
        <is>
          <t>Game Break</t>
        </is>
      </c>
      <c r="C95" s="134" t="inlineStr">
        <is>
          <t>Official Timeout</t>
        </is>
      </c>
      <c r="D95" s="91" t="inlineStr">
        <is>
          <t>At least 1 referee must be armed: discard all Injuries on all players and clear all referees. If none, all players draw 1 card</t>
        </is>
      </c>
      <c r="E95" s="7" t="n"/>
      <c r="F95" s="76" t="n">
        <v>2</v>
      </c>
      <c r="G95" s="111" t="n"/>
      <c r="H95" s="102" t="n"/>
      <c r="I95" s="102" t="n"/>
      <c r="J95" s="102" t="n"/>
    </row>
    <row r="96" ht="14" customHeight="1" s="132">
      <c r="A96" s="29" t="n"/>
      <c r="B96" s="30" t="inlineStr">
        <is>
          <t>Game Break</t>
        </is>
      </c>
      <c r="C96" s="134" t="inlineStr">
        <is>
          <t>Team Doctor</t>
        </is>
      </c>
      <c r="D96" s="91" t="inlineStr">
        <is>
          <t>Discard 1 Injury from a player of choice. Draw 2 cards if not choosing yourself</t>
        </is>
      </c>
      <c r="E96" s="7" t="n"/>
      <c r="F96" s="76" t="n">
        <v>3</v>
      </c>
      <c r="G96" s="111" t="n"/>
      <c r="H96" s="102" t="n"/>
      <c r="I96" s="102" t="n"/>
      <c r="J96" s="102" t="n"/>
    </row>
    <row r="97" ht="14" customHeight="1" s="132">
      <c r="A97" s="29" t="n"/>
      <c r="B97" s="30" t="inlineStr">
        <is>
          <t>Game Break</t>
        </is>
      </c>
      <c r="C97" s="134" t="inlineStr">
        <is>
          <t>Altercation</t>
        </is>
      </c>
      <c r="D97" s="91" t="inlineStr">
        <is>
          <t>Select another player: you and that player each discard 1 card at random. Inbound the ball to a player other than that target</t>
        </is>
      </c>
      <c r="E97" s="7" t="n"/>
      <c r="F97" s="76" t="n">
        <v>2</v>
      </c>
      <c r="G97" s="111" t="n"/>
      <c r="H97" s="102" t="n"/>
      <c r="I97" s="102" t="n"/>
      <c r="J97" s="102" t="n"/>
    </row>
    <row r="98" ht="14" customHeight="1" s="132">
      <c r="A98" s="29" t="n"/>
      <c r="B98" s="30" t="inlineStr">
        <is>
          <t>Game Break</t>
        </is>
      </c>
      <c r="C98" s="134" t="inlineStr">
        <is>
          <t>Huge Altercation</t>
        </is>
      </c>
      <c r="D98" s="91" t="inlineStr">
        <is>
          <t>All players discard their hands. If a ref is armed, all players receive 1 TOV. Inbound the ball</t>
        </is>
      </c>
      <c r="E98" s="7" t="n"/>
      <c r="F98" s="76" t="n">
        <v>1</v>
      </c>
      <c r="G98" s="111" t="n"/>
      <c r="H98" s="102" t="n"/>
      <c r="I98" s="102" t="n"/>
      <c r="J98" s="102" t="n"/>
    </row>
    <row r="99" ht="14" customHeight="1" s="132">
      <c r="A99" s="29" t="n"/>
      <c r="B99" s="30" t="inlineStr">
        <is>
          <t>Game Break</t>
        </is>
      </c>
      <c r="C99" s="134" t="inlineStr">
        <is>
          <t>Home Court Advantage</t>
        </is>
      </c>
      <c r="D99" s="91" t="inlineStr">
        <is>
          <t>SHOT + 10%</t>
        </is>
      </c>
      <c r="E99" s="7" t="n"/>
      <c r="F99" s="76" t="n">
        <v>5</v>
      </c>
      <c r="G99" s="111" t="n"/>
      <c r="H99" s="102" t="n"/>
      <c r="I99" s="102" t="n"/>
      <c r="J99" s="102" t="n"/>
    </row>
    <row r="100" ht="14" customHeight="1" s="132">
      <c r="A100" s="29" t="n"/>
      <c r="B100" s="30" t="inlineStr">
        <is>
          <t>Game Break</t>
        </is>
      </c>
      <c r="C100" s="134" t="inlineStr">
        <is>
          <t>Away Game</t>
        </is>
      </c>
      <c r="D100" s="91" t="inlineStr">
        <is>
          <t>SHOT - 10%</t>
        </is>
      </c>
      <c r="E100" s="7" t="n"/>
      <c r="F100" s="76" t="n">
        <v>5</v>
      </c>
      <c r="G100" s="111" t="n"/>
      <c r="H100" s="102" t="n"/>
      <c r="I100" s="102" t="n"/>
      <c r="J100" s="102" t="n"/>
    </row>
    <row r="101" ht="14" customHeight="1" s="132">
      <c r="A101" s="29" t="n"/>
      <c r="B101" s="30" t="inlineStr">
        <is>
          <t>Game Break</t>
        </is>
      </c>
      <c r="C101" s="134" t="inlineStr">
        <is>
          <t>Mic'd Up</t>
        </is>
      </c>
      <c r="D101" s="91" t="inlineStr">
        <is>
          <t>SHOT + 10% until passed or shot</t>
        </is>
      </c>
      <c r="E101" s="7" t="n"/>
      <c r="F101" s="76" t="n">
        <v>7</v>
      </c>
      <c r="G101" s="111" t="inlineStr">
        <is>
          <t>The boost is the holder's alone and does not travel with a pass</t>
        </is>
      </c>
      <c r="H101" s="102" t="n"/>
      <c r="I101" s="102" t="n"/>
      <c r="J101" s="102" t="n"/>
    </row>
    <row r="102" ht="14" customHeight="1" s="132">
      <c r="A102" s="29" t="n"/>
      <c r="B102" s="30" t="inlineStr">
        <is>
          <t>Game Break</t>
        </is>
      </c>
      <c r="C102" s="134" t="inlineStr">
        <is>
          <t>In The Zone</t>
        </is>
      </c>
      <c r="D102" s="91" t="inlineStr">
        <is>
          <t>Draw 1 card for each 10% SHOT the ball has, rounded down. Minimum 1</t>
        </is>
      </c>
      <c r="E102" s="7" t="n"/>
      <c r="F102" s="76" t="n">
        <v>4</v>
      </c>
      <c r="G102" s="111" t="n"/>
      <c r="H102" s="102" t="n"/>
      <c r="I102" s="102" t="n"/>
      <c r="J102" s="102" t="n"/>
    </row>
    <row r="103" ht="14" customHeight="1" s="132">
      <c r="A103" s="29" t="n"/>
      <c r="B103" s="30" t="inlineStr">
        <is>
          <t>Game Break</t>
        </is>
      </c>
      <c r="C103" s="134" t="inlineStr">
        <is>
          <t>Role Player</t>
        </is>
      </c>
      <c r="D103" s="91" t="inlineStr">
        <is>
          <t>All other players draw 1 card</t>
        </is>
      </c>
      <c r="E103" s="7" t="n"/>
      <c r="F103" s="76" t="n">
        <v>4</v>
      </c>
      <c r="G103" s="111" t="n"/>
      <c r="H103" s="102" t="n"/>
      <c r="I103" s="102" t="n"/>
      <c r="J103" s="102" t="n"/>
    </row>
    <row r="104" ht="14" customHeight="1" s="132">
      <c r="A104" s="35" t="n"/>
      <c r="B104" s="36" t="inlineStr">
        <is>
          <t>Game Break</t>
        </is>
      </c>
      <c r="C104" s="160" t="inlineStr">
        <is>
          <t>Back-and-Forth Game</t>
        </is>
      </c>
      <c r="D104" s="161" t="inlineStr">
        <is>
          <t>Discard the next 3 Game Breaks. Whoever draws one draws again</t>
        </is>
      </c>
      <c r="E104" s="154" t="n"/>
      <c r="F104" s="155" t="n">
        <v>3</v>
      </c>
      <c r="G104" s="162" t="n"/>
      <c r="H104" s="151" t="n"/>
      <c r="I104" s="151" t="n"/>
      <c r="J104" s="151" t="n"/>
    </row>
    <row r="105" ht="28" customHeight="1" s="132">
      <c r="A105" s="144" t="inlineStr">
        <is>
          <t>Injury GB</t>
        </is>
      </c>
      <c r="B105" s="145">
        <f>COUNTIF($B$106:$B$136,"Injury GB")</f>
        <v/>
      </c>
      <c r="C105" s="146" t="n"/>
      <c r="D105" s="146" t="n"/>
      <c r="E105" s="146" t="n"/>
      <c r="F105" s="147" t="n"/>
      <c r="G105" s="148" t="n"/>
      <c r="H105" s="149" t="n"/>
      <c r="I105" s="149" t="n"/>
      <c r="J105" s="149" t="n"/>
    </row>
    <row r="106" ht="28" customHeight="1" s="132">
      <c r="A106" s="35" t="n"/>
      <c r="B106" s="36" t="inlineStr">
        <is>
          <t>Injury GB</t>
        </is>
      </c>
      <c r="C106" s="152" t="inlineStr">
        <is>
          <t>Bone Bruise</t>
        </is>
      </c>
      <c r="D106" s="161" t="inlineStr">
        <is>
          <t>Discard 1 card at the start of each turn after drawing (your choice)</t>
        </is>
      </c>
      <c r="E106" s="154" t="n"/>
      <c r="F106" s="155" t="n">
        <v>3</v>
      </c>
      <c r="G106" s="156" t="n"/>
      <c r="H106" s="151" t="n"/>
      <c r="I106" s="151" t="n"/>
      <c r="J106" s="151" t="n"/>
    </row>
    <row r="107" ht="28" customHeight="1" s="132">
      <c r="A107" s="144" t="inlineStr">
        <is>
          <t>Devastating Injury GB</t>
        </is>
      </c>
      <c r="B107" s="145">
        <f>COUNTIF($B$108:$B$136,"Devastating Injury GB")</f>
        <v/>
      </c>
      <c r="C107" s="146" t="n"/>
      <c r="D107" s="146" t="n"/>
      <c r="E107" s="146" t="n"/>
      <c r="F107" s="147" t="n"/>
      <c r="G107" s="148" t="n"/>
      <c r="H107" s="149" t="n"/>
      <c r="I107" s="149" t="n"/>
      <c r="J107" s="149" t="n"/>
    </row>
    <row r="108" ht="28" customHeight="1" s="132">
      <c r="A108" s="35" t="n"/>
      <c r="B108" s="36" t="inlineStr">
        <is>
          <t>Devastating Injury GB</t>
        </is>
      </c>
      <c r="C108" s="163" t="inlineStr">
        <is>
          <t>Torn Achilles</t>
        </is>
      </c>
      <c r="D108" s="164" t="inlineStr">
        <is>
          <t>Hand is locked every turn except 1 card (randomly)</t>
        </is>
      </c>
      <c r="E108" s="154" t="n"/>
      <c r="F108" s="159" t="n"/>
      <c r="G108" s="156" t="n"/>
      <c r="H108" s="151" t="n"/>
      <c r="I108" s="151" t="n"/>
      <c r="J108" s="151" t="n"/>
    </row>
    <row r="109" ht="42" customHeight="1" s="132">
      <c r="A109" s="144" t="inlineStr">
        <is>
          <t>Intangible</t>
        </is>
      </c>
      <c r="B109" s="145">
        <f>COUNTIF($B$110:$B$136,"Intangible")</f>
        <v/>
      </c>
      <c r="C109" s="146" t="n"/>
      <c r="D109" s="146" t="n"/>
      <c r="E109" s="146" t="n"/>
      <c r="F109" s="147" t="n"/>
      <c r="G109" s="148" t="n"/>
      <c r="H109" s="149" t="n"/>
      <c r="I109" s="149" t="n"/>
      <c r="J109" s="149" t="n"/>
    </row>
    <row r="110" ht="56" customHeight="1" s="132">
      <c r="A110" s="96" t="inlineStr">
        <is>
          <t>All intangibles are limited to 1</t>
        </is>
      </c>
      <c r="B110" s="30" t="inlineStr">
        <is>
          <t>Intangible</t>
        </is>
      </c>
      <c r="C110" s="31" t="inlineStr">
        <is>
          <t>Board-Crasher</t>
        </is>
      </c>
      <c r="D110" s="6" t="inlineStr">
        <is>
          <t>SHOT +10% upon Rebounding your own missed shot</t>
        </is>
      </c>
      <c r="E110" s="7" t="n"/>
      <c r="F110" s="138" t="n"/>
      <c r="G110" s="101" t="n"/>
      <c r="H110" s="102" t="n"/>
      <c r="I110" s="102" t="n"/>
      <c r="J110" s="102" t="n"/>
    </row>
    <row r="111" ht="57" customHeight="1" s="132">
      <c r="A111" s="29" t="n"/>
      <c r="B111" s="30" t="inlineStr">
        <is>
          <t>Intangible</t>
        </is>
      </c>
      <c r="C111" s="32" t="inlineStr">
        <is>
          <t>Catch &amp; Shoot Specialist</t>
        </is>
      </c>
      <c r="D111" s="33" t="inlineStr">
        <is>
          <t>Additional SHOT +10% on all received passes</t>
        </is>
      </c>
      <c r="E111" s="34" t="n"/>
      <c r="F111" s="138" t="n"/>
      <c r="G111" s="107" t="n"/>
      <c r="H111" s="102" t="n"/>
      <c r="I111" s="102" t="n"/>
      <c r="J111" s="102" t="n"/>
    </row>
    <row r="112" ht="20" customHeight="1" s="132">
      <c r="A112" s="29" t="n"/>
      <c r="B112" s="30" t="inlineStr">
        <is>
          <t>Intangible</t>
        </is>
      </c>
      <c r="C112" s="31" t="inlineStr">
        <is>
          <t>Clutch Gene</t>
        </is>
      </c>
      <c r="D112" s="6" t="inlineStr">
        <is>
          <t>SHOT x2 if attempting a shot with 1 or fewer cards in hand or Shot Clock 3 or less</t>
        </is>
      </c>
      <c r="E112" s="7" t="n"/>
      <c r="F112" s="138" t="n"/>
      <c r="G112" s="101" t="n"/>
      <c r="H112" s="102" t="n"/>
      <c r="I112" s="102" t="n"/>
      <c r="J112" s="102" t="n"/>
    </row>
    <row r="113" ht="28" customHeight="1" s="132">
      <c r="A113" s="29" t="n"/>
      <c r="B113" s="30" t="inlineStr">
        <is>
          <t>Intangible</t>
        </is>
      </c>
      <c r="C113" s="32" t="inlineStr">
        <is>
          <t>Floor General</t>
        </is>
      </c>
      <c r="D113" s="33" t="inlineStr">
        <is>
          <t>You choose all targets of all kinds — card declarations, non auto-pass targets, and the rest</t>
        </is>
      </c>
      <c r="E113" s="34" t="n"/>
      <c r="F113" s="138" t="n"/>
      <c r="G113" s="107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31" t="inlineStr">
        <is>
          <t>Fox-Like First Step</t>
        </is>
      </c>
      <c r="D114" s="6" t="inlineStr">
        <is>
          <t>All Move cards that reduce SHOT increase it by that amount instead.</t>
        </is>
      </c>
      <c r="E114" s="6" t="inlineStr">
        <is>
          <t>Your Move cards are unaffected by opponents</t>
        </is>
      </c>
      <c r="F114" s="139" t="n"/>
      <c r="G114" s="101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90" t="inlineStr">
        <is>
          <t>Freethrow Merchant</t>
        </is>
      </c>
      <c r="D115" s="94" t="inlineStr">
        <is>
          <t>All Clamps on you grant 1 FT instead</t>
        </is>
      </c>
      <c r="E115" s="34" t="n"/>
      <c r="F115" s="138" t="n"/>
      <c r="G115" s="125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90" t="inlineStr">
        <is>
          <t>Generational Whistle</t>
        </is>
      </c>
      <c r="D116" s="91" t="inlineStr">
        <is>
          <t>Take 1 additional FT</t>
        </is>
      </c>
      <c r="E116" s="7" t="n"/>
      <c r="F116" s="138" t="n"/>
      <c r="G116" s="101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2" t="inlineStr">
        <is>
          <t>Gravity</t>
        </is>
      </c>
      <c r="D117" s="33" t="inlineStr">
        <is>
          <t>All Clamps automatically apply to you. +1 AST whenever another player attempts a shot</t>
        </is>
      </c>
      <c r="E117" s="34" t="n"/>
      <c r="F117" s="138" t="n"/>
      <c r="G117" s="107" t="n"/>
      <c r="H117" s="102" t="n"/>
      <c r="I117" s="102" t="n"/>
      <c r="J117" s="102" t="n"/>
    </row>
    <row r="118">
      <c r="A118" s="29" t="n"/>
      <c r="B118" s="30" t="inlineStr">
        <is>
          <t>Intangible</t>
        </is>
      </c>
      <c r="C118" s="31" t="inlineStr">
        <is>
          <t>Great Conditioning</t>
        </is>
      </c>
      <c r="D118" s="6" t="inlineStr">
        <is>
          <t>Immediately discard all Injury Game Breaks you draw and draw a new card for each</t>
        </is>
      </c>
      <c r="E118" s="7" t="n"/>
      <c r="F118" s="138" t="n"/>
      <c r="G118" s="101" t="n"/>
      <c r="H118" s="102" t="n"/>
      <c r="I118" s="102" t="n"/>
      <c r="J118" s="102" t="n"/>
    </row>
    <row r="119">
      <c r="A119" s="29" t="n"/>
      <c r="B119" s="30" t="inlineStr">
        <is>
          <t>Intangible</t>
        </is>
      </c>
      <c r="C119" s="32" t="inlineStr">
        <is>
          <t>Hot Hand</t>
        </is>
      </c>
      <c r="D119" s="33" t="inlineStr">
        <is>
          <t>SHOT +20% if you scored last round.</t>
        </is>
      </c>
      <c r="E119" s="34" t="n"/>
      <c r="F119" s="138" t="n"/>
      <c r="G119" s="107" t="n"/>
      <c r="H119" s="102" t="n"/>
      <c r="I119" s="102" t="n"/>
      <c r="J119" s="102" t="n"/>
    </row>
    <row r="120">
      <c r="A120" s="29" t="n"/>
      <c r="B120" s="30" t="inlineStr">
        <is>
          <t>Intangible</t>
        </is>
      </c>
      <c r="C120" s="31" t="inlineStr">
        <is>
          <t>Like That</t>
        </is>
      </c>
      <c r="D120" s="91" t="inlineStr">
        <is>
          <t>Your SHOT % cannot be reduced</t>
        </is>
      </c>
      <c r="E120" s="7" t="n"/>
      <c r="F120" s="138" t="n"/>
      <c r="G120" s="101" t="n"/>
      <c r="H120" s="102" t="n"/>
      <c r="I120" s="102" t="n"/>
      <c r="J120" s="102" t="n"/>
    </row>
    <row r="121">
      <c r="A121" s="29" t="n"/>
      <c r="B121" s="30" t="inlineStr">
        <is>
          <t>Intangible</t>
        </is>
      </c>
      <c r="C121" s="32" t="inlineStr">
        <is>
          <t>No Bag</t>
        </is>
      </c>
      <c r="D121" s="33" t="inlineStr">
        <is>
          <t>Cannot activate Move cards this round</t>
        </is>
      </c>
      <c r="E121" s="34" t="n"/>
      <c r="F121" s="138" t="n"/>
      <c r="G121" s="113" t="inlineStr">
        <is>
          <t>Bad card to draw</t>
        </is>
      </c>
      <c r="H121" s="102" t="n"/>
      <c r="I121" s="102" t="n"/>
      <c r="J121" s="102" t="n"/>
    </row>
    <row r="122">
      <c r="A122" s="29" t="n"/>
      <c r="B122" s="30" t="inlineStr">
        <is>
          <t>Intangible</t>
        </is>
      </c>
      <c r="C122" s="31" t="inlineStr">
        <is>
          <t>Point God</t>
        </is>
      </c>
      <c r="D122" s="6" t="inlineStr">
        <is>
          <t>Draw 1 card following each of your passes</t>
        </is>
      </c>
      <c r="E122" s="7" t="n"/>
      <c r="F122" s="138" t="n"/>
      <c r="G122" s="101" t="n"/>
      <c r="H122" s="102" t="n"/>
      <c r="I122" s="102" t="n"/>
      <c r="J122" s="102" t="n"/>
    </row>
    <row r="123">
      <c r="A123" s="29" t="n"/>
      <c r="B123" s="30" t="inlineStr">
        <is>
          <t>Intangible</t>
        </is>
      </c>
      <c r="C123" s="32" t="inlineStr">
        <is>
          <t>Shooting Slump</t>
        </is>
      </c>
      <c r="D123" s="33" t="inlineStr">
        <is>
          <t>SHOT -20% this round</t>
        </is>
      </c>
      <c r="E123" s="34" t="n"/>
      <c r="F123" s="138" t="n"/>
      <c r="G123" s="113" t="inlineStr">
        <is>
          <t>Bad card to draw</t>
        </is>
      </c>
      <c r="H123" s="102" t="n"/>
      <c r="I123" s="102" t="n"/>
      <c r="J123" s="102" t="n"/>
    </row>
    <row r="124">
      <c r="A124" s="29" t="n"/>
      <c r="B124" s="30" t="inlineStr">
        <is>
          <t>Intangible</t>
        </is>
      </c>
      <c r="C124" s="31" t="inlineStr">
        <is>
          <t>Shot Creator</t>
        </is>
      </c>
      <c r="D124" s="6" t="inlineStr">
        <is>
          <t>Draw 1 additional card after every draw effect</t>
        </is>
      </c>
      <c r="E124" s="7" t="n"/>
      <c r="F124" s="138" t="n"/>
      <c r="G124" s="101" t="n"/>
      <c r="H124" s="102" t="n"/>
      <c r="I124" s="102" t="n"/>
      <c r="J124" s="102" t="n"/>
    </row>
    <row r="125">
      <c r="A125" s="29" t="n"/>
      <c r="B125" s="30" t="inlineStr">
        <is>
          <t>Intangible</t>
        </is>
      </c>
      <c r="C125" s="32" t="inlineStr">
        <is>
          <t>Sixth Man</t>
        </is>
      </c>
      <c r="D125" s="33" t="inlineStr">
        <is>
          <t>SHOT = 100% if taking 6th shot of the round</t>
        </is>
      </c>
      <c r="E125" s="34" t="n"/>
      <c r="F125" s="138" t="n"/>
      <c r="G125" s="107" t="n"/>
      <c r="H125" s="102" t="n"/>
      <c r="I125" s="102" t="n"/>
      <c r="J125" s="102" t="n"/>
    </row>
    <row r="126">
      <c r="A126" s="29" t="n"/>
      <c r="B126" s="30" t="inlineStr">
        <is>
          <t>Intangible</t>
        </is>
      </c>
      <c r="C126" s="31" t="inlineStr">
        <is>
          <t>Sniper</t>
        </is>
      </c>
      <c r="D126" s="6" t="inlineStr">
        <is>
          <t>SHOT +10% on all Three-Point Line Shots</t>
        </is>
      </c>
      <c r="E126" s="7" t="n"/>
      <c r="F126" s="138" t="n"/>
      <c r="G126" s="101" t="n"/>
      <c r="H126" s="102" t="n"/>
      <c r="I126" s="102" t="n"/>
      <c r="J126" s="102" t="n"/>
    </row>
    <row r="127">
      <c r="A127" s="29" t="n"/>
      <c r="B127" s="30" t="inlineStr">
        <is>
          <t>Intangible</t>
        </is>
      </c>
      <c r="C127" s="32" t="inlineStr">
        <is>
          <t>Splash Cousin</t>
        </is>
      </c>
      <c r="D127" s="33" t="inlineStr">
        <is>
          <t>All Three-Point Line Shots: SHOT = 100%</t>
        </is>
      </c>
      <c r="E127" s="34" t="n"/>
      <c r="F127" s="138" t="n"/>
      <c r="G127" s="107" t="n"/>
      <c r="H127" s="102" t="n"/>
      <c r="I127" s="102" t="n"/>
      <c r="J127" s="102" t="n"/>
    </row>
    <row r="128">
      <c r="A128" s="29" t="n"/>
      <c r="B128" s="30" t="inlineStr">
        <is>
          <t>Intangible</t>
        </is>
      </c>
      <c r="C128" s="31" t="inlineStr">
        <is>
          <t>Unguardable</t>
        </is>
      </c>
      <c r="D128" s="91" t="inlineStr">
        <is>
          <t>All Clamps on you have no effect on SHOT %</t>
        </is>
      </c>
      <c r="E128" s="7" t="n"/>
      <c r="F128" s="138" t="n"/>
      <c r="G128" s="101" t="n"/>
      <c r="H128" s="102" t="n"/>
      <c r="I128" s="102" t="n"/>
      <c r="J128" s="102" t="n"/>
    </row>
    <row r="129">
      <c r="A129" s="29" t="n"/>
      <c r="B129" s="30" t="inlineStr">
        <is>
          <t>Intangible</t>
        </is>
      </c>
      <c r="C129" s="32" t="inlineStr">
        <is>
          <t>Lethal Shooter</t>
        </is>
      </c>
      <c r="D129" s="33" t="inlineStr">
        <is>
          <t>SHOT = 100% on next shot attempt after rebounding your own miss.</t>
        </is>
      </c>
      <c r="E129" s="34" t="n"/>
      <c r="F129" s="138" t="n"/>
      <c r="G129" s="113" t="inlineStr">
        <is>
          <t>Special text: “I understand it now”</t>
        </is>
      </c>
      <c r="H129" s="102" t="n"/>
      <c r="I129" s="102" t="n"/>
      <c r="J129" s="102" t="n"/>
    </row>
    <row r="130">
      <c r="A130" s="29" t="n"/>
      <c r="B130" s="30" t="inlineStr">
        <is>
          <t>Intangible</t>
        </is>
      </c>
      <c r="C130" s="31" t="inlineStr">
        <is>
          <t>Ball Pounder</t>
        </is>
      </c>
      <c r="D130" s="91" t="inlineStr">
        <is>
          <t>All Dribble cards you play draw an additional card but lower SHOT by an additional 10%</t>
        </is>
      </c>
      <c r="E130" s="7" t="n"/>
      <c r="F130" s="138" t="n"/>
      <c r="G130" s="101" t="n"/>
      <c r="H130" s="102" t="n"/>
      <c r="I130" s="102" t="n"/>
      <c r="J130" s="102" t="n"/>
    </row>
    <row r="131">
      <c r="A131" s="29" t="n"/>
      <c r="B131" s="30" t="inlineStr">
        <is>
          <t>Intangible</t>
        </is>
      </c>
      <c r="C131" s="31" t="inlineStr">
        <is>
          <t>Unselfish</t>
        </is>
      </c>
      <c r="D131" s="91" t="inlineStr">
        <is>
          <t>Draw 1 card and increase next SHOT +5% whenever you positively affect another player</t>
        </is>
      </c>
      <c r="E131" s="7" t="n"/>
      <c r="F131" s="138" t="n"/>
      <c r="G131" s="101" t="n"/>
      <c r="H131" s="102" t="n"/>
      <c r="I131" s="102" t="n"/>
      <c r="J131" s="102" t="n"/>
    </row>
    <row r="132">
      <c r="A132" s="29" t="n"/>
      <c r="B132" s="30" t="inlineStr">
        <is>
          <t>Intangible</t>
        </is>
      </c>
      <c r="C132" s="31" t="inlineStr">
        <is>
          <t>Dirty Player</t>
        </is>
      </c>
      <c r="D132" s="91" t="inlineStr">
        <is>
          <t>When sending Clamps, the clamped player discards 1 if they have any Injuries</t>
        </is>
      </c>
      <c r="E132" s="7" t="n"/>
      <c r="F132" s="138" t="n"/>
      <c r="G132" s="101" t="n"/>
      <c r="H132" s="102" t="n"/>
      <c r="I132" s="102" t="n"/>
      <c r="J132" s="102" t="n"/>
    </row>
    <row r="133">
      <c r="A133" s="29" t="n"/>
      <c r="B133" s="30" t="inlineStr">
        <is>
          <t>Intangible</t>
        </is>
      </c>
      <c r="C133" s="31" t="inlineStr">
        <is>
          <t>Villainous Reputation</t>
        </is>
      </c>
      <c r="D133" s="91" t="inlineStr">
        <is>
          <t>Discard 1 whenever any Whistle triggers</t>
        </is>
      </c>
      <c r="E133" s="7" t="n"/>
      <c r="F133" s="138" t="n"/>
      <c r="G133" s="101" t="inlineStr">
        <is>
          <t>Discarded during play, it attaches to a random player — possibly you again</t>
        </is>
      </c>
      <c r="H133" s="102" t="n"/>
      <c r="I133" s="102" t="n"/>
      <c r="J133" s="102" t="n"/>
    </row>
    <row r="134">
      <c r="A134" s="29" t="n"/>
      <c r="B134" s="30" t="inlineStr">
        <is>
          <t>Intangible</t>
        </is>
      </c>
      <c r="C134" s="31" t="inlineStr">
        <is>
          <t>Free Agent</t>
        </is>
      </c>
      <c r="D134" s="91" t="inlineStr">
        <is>
          <t>Discard your hand. Play a card at random from a player of your choosing (they keep it)</t>
        </is>
      </c>
      <c r="E134" s="7" t="n"/>
      <c r="F134" s="138" t="n"/>
      <c r="G134" s="101" t="inlineStr">
        <is>
          <t>The discard waits for the draw chain to finish. Target is shuffled first and is affected by Floor General. Your own draws are kept. All-0 rebounds are yours; otherwise you cannot bid</t>
        </is>
      </c>
      <c r="H134" s="102" t="n"/>
      <c r="I134" s="102" t="n"/>
      <c r="J134" s="102" t="n"/>
    </row>
    <row r="135">
      <c r="A135" s="29" t="n"/>
      <c r="B135" s="30" t="inlineStr">
        <is>
          <t>Intangible</t>
        </is>
      </c>
      <c r="C135" s="31" t="inlineStr">
        <is>
          <t>Franchise Player</t>
        </is>
      </c>
      <c r="D135" s="91" t="inlineStr">
        <is>
          <t>When passing, choose 1 of the new player's Intangibles or a card in their hand for them to discard</t>
        </is>
      </c>
      <c r="E135" s="7" t="n"/>
      <c r="F135" s="138" t="n"/>
      <c r="G135" s="101" t="n"/>
      <c r="H135" s="102" t="n"/>
      <c r="I135" s="102" t="n"/>
      <c r="J135" s="102" t="n"/>
    </row>
    <row r="136">
      <c r="A136" s="35" t="n"/>
      <c r="B136" s="36" t="inlineStr">
        <is>
          <t>Intangible</t>
        </is>
      </c>
      <c r="C136" s="152" t="inlineStr">
        <is>
          <t>Fundamentalist</t>
        </is>
      </c>
      <c r="D136" s="161" t="inlineStr">
        <is>
          <t>No Special Moves. Each Move once a turn. Swings, Skip Pass and Dribble are never spent</t>
        </is>
      </c>
      <c r="E136" s="154" t="n"/>
      <c r="F136" s="159" t="n"/>
      <c r="G136" s="156" t="n"/>
      <c r="H136" s="151" t="n"/>
      <c r="I136" s="151" t="n"/>
      <c r="J136" s="151" t="n"/>
    </row>
  </sheetData>
  <mergeCells count="123">
    <mergeCell ref="G55:J55"/>
    <mergeCell ref="G4:J4"/>
    <mergeCell ref="G109:J109"/>
    <mergeCell ref="G47:J47"/>
    <mergeCell ref="G135:J135"/>
    <mergeCell ref="G32:J32"/>
    <mergeCell ref="G119:J119"/>
    <mergeCell ref="G46:J46"/>
    <mergeCell ref="G40:J40"/>
    <mergeCell ref="G111:J111"/>
    <mergeCell ref="G72:J72"/>
    <mergeCell ref="G81:J81"/>
    <mergeCell ref="G96:J96"/>
    <mergeCell ref="G5:J5"/>
    <mergeCell ref="G136:J136"/>
    <mergeCell ref="G71:J71"/>
    <mergeCell ref="G8:J8"/>
    <mergeCell ref="G82:J82"/>
    <mergeCell ref="G57:J57"/>
    <mergeCell ref="G10:J10"/>
    <mergeCell ref="G66:J66"/>
    <mergeCell ref="G128:J128"/>
    <mergeCell ref="G18:J18"/>
    <mergeCell ref="G53:J53"/>
    <mergeCell ref="G34:J34"/>
    <mergeCell ref="G121:J121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7:J7"/>
    <mergeCell ref="G38:J38"/>
    <mergeCell ref="G125:J125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9:J9"/>
    <mergeCell ref="G131:J131"/>
    <mergeCell ref="G124:J124"/>
    <mergeCell ref="G115:J115"/>
    <mergeCell ref="G130:J130"/>
    <mergeCell ref="G59:J59"/>
    <mergeCell ref="G11:J11"/>
    <mergeCell ref="G117:J117"/>
    <mergeCell ref="G126:J126"/>
    <mergeCell ref="G132:J132"/>
    <mergeCell ref="G122:J122"/>
    <mergeCell ref="G39:J39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95:J95"/>
    <mergeCell ref="G80:J80"/>
    <mergeCell ref="G79:J79"/>
    <mergeCell ref="G64:J64"/>
    <mergeCell ref="G73:J73"/>
    <mergeCell ref="G51:J51"/>
    <mergeCell ref="G54:J54"/>
    <mergeCell ref="G63:J63"/>
    <mergeCell ref="G41:J41"/>
    <mergeCell ref="G50:J50"/>
    <mergeCell ref="G106:J106"/>
    <mergeCell ref="G56:J56"/>
    <mergeCell ref="G14:J14"/>
    <mergeCell ref="G105:J105"/>
    <mergeCell ref="G43:J43"/>
    <mergeCell ref="G52:J52"/>
    <mergeCell ref="G120:J120"/>
    <mergeCell ref="G98:J98"/>
    <mergeCell ref="G107:J107"/>
    <mergeCell ref="G27:J27"/>
    <mergeCell ref="G36:J36"/>
    <mergeCell ref="G42:J42"/>
    <mergeCell ref="G17:J17"/>
    <mergeCell ref="G19:J19"/>
    <mergeCell ref="G28:J28"/>
    <mergeCell ref="G6:J6"/>
    <mergeCell ref="G69:J69"/>
    <mergeCell ref="G83:J83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2026-09-05T17:10:04Z</dcterms:modified>
  <cp:lastModifiedBy>Montre Smith</cp:lastModifiedBy>
</cp:coreProperties>
</file>